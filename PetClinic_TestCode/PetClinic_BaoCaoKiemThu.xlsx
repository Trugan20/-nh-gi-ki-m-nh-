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quan" sheetId="2" state="visible" r:id="rId2"/>
    <sheet xmlns:r="http://schemas.openxmlformats.org/officeDocument/2006/relationships" name="TC chức năng" sheetId="3" state="visible" r:id="rId3"/>
    <sheet xmlns:r="http://schemas.openxmlformats.org/officeDocument/2006/relationships" name="Unit test" sheetId="4" state="visible" r:id="rId4"/>
    <sheet xmlns:r="http://schemas.openxmlformats.org/officeDocument/2006/relationships" name="TC phi chức năng" sheetId="5" state="visible" r:id="rId5"/>
    <sheet xmlns:r="http://schemas.openxmlformats.org/officeDocument/2006/relationships" name="Danh sách lỗi" sheetId="6" state="visible" r:id="rId6"/>
  </sheets>
  <definedNames>
    <definedName name="_xlnm._FilterDatabase" localSheetId="2" hidden="1">'TC chức năng'!$A$4:$O$78</definedName>
    <definedName name="_xlnm._FilterDatabase" localSheetId="3" hidden="1">'Unit test'!$A$4:$J$34</definedName>
    <definedName name="_xlnm._FilterDatabase" localSheetId="4" hidden="1">'TC phi chức năng'!$A$4:$M$32</definedName>
    <definedName name="_xlnm._FilterDatabase" localSheetId="5" hidden="1">'Danh sách lỗi'!$A$4:$M$28</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3864"/>
      <sz val="16"/>
    </font>
    <font>
      <name val="Arial"/>
      <i val="1"/>
      <color rgb="00595959"/>
      <sz val="10"/>
    </font>
    <font>
      <name val="Arial"/>
      <b val="1"/>
      <color rgb="00FFFFFF"/>
      <sz val="10"/>
    </font>
    <font>
      <name val="Arial"/>
      <sz val="10"/>
    </font>
    <font>
      <name val="Arial"/>
      <b val="1"/>
      <sz val="10"/>
    </font>
    <font>
      <name val="Arial"/>
      <b val="1"/>
      <color rgb="001F3864"/>
      <sz val="11"/>
    </font>
    <font>
      <name val="Arial"/>
      <b val="1"/>
      <color rgb="009C0006"/>
      <sz val="11"/>
    </font>
    <font>
      <name val="Arial"/>
      <i val="1"/>
      <color rgb="00595959"/>
      <sz val="9"/>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2F3"/>
      </patternFill>
    </fill>
  </fills>
  <borders count="6">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4" fillId="3" borderId="0" pivotButton="0" quotePrefix="0" xfId="0"/>
    <xf numFmtId="0" fontId="4" fillId="4" borderId="0" pivotButton="0" quotePrefix="0" xfId="0"/>
    <xf numFmtId="0" fontId="4" fillId="5" borderId="0" pivotButton="0" quotePrefix="0" xfId="0"/>
    <xf numFmtId="0" fontId="4" fillId="0" borderId="0" pivotButton="0" quotePrefix="0" xfId="0"/>
    <xf numFmtId="0" fontId="5" fillId="6" borderId="1" pivotButton="0" quotePrefix="0" xfId="0"/>
    <xf numFmtId="0" fontId="4" fillId="0" borderId="1" pivotButton="0" quotePrefix="0" xfId="0"/>
    <xf numFmtId="0" fontId="0" fillId="0" borderId="4" pivotButton="0" quotePrefix="0" xfId="0"/>
    <xf numFmtId="0" fontId="0" fillId="0" borderId="5" pivotButton="0" quotePrefix="0" xfId="0"/>
    <xf numFmtId="0" fontId="6"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xf>
    <xf numFmtId="164" fontId="4" fillId="0" borderId="1" applyAlignment="1" pivotButton="0" quotePrefix="0" xfId="0">
      <alignment horizontal="center"/>
    </xf>
    <xf numFmtId="0" fontId="5" fillId="6" borderId="1" applyAlignment="1" pivotButton="0" quotePrefix="0" xfId="0">
      <alignment horizontal="center"/>
    </xf>
    <xf numFmtId="164" fontId="5" fillId="6" borderId="1" applyAlignment="1" pivotButton="0" quotePrefix="0" xfId="0">
      <alignment horizontal="center"/>
    </xf>
    <xf numFmtId="0" fontId="3" fillId="2" borderId="1" applyAlignment="1" pivotButton="0" quotePrefix="0" xfId="0">
      <alignment horizontal="center"/>
    </xf>
    <xf numFmtId="0" fontId="4" fillId="4" borderId="1" pivotButton="0" quotePrefix="0" xfId="0"/>
    <xf numFmtId="0" fontId="4" fillId="5" borderId="1" pivotButton="0" quotePrefix="0" xfId="0"/>
    <xf numFmtId="0" fontId="7" fillId="0" borderId="0" pivotButton="0" quotePrefix="0" xfId="0"/>
    <xf numFmtId="0" fontId="8" fillId="0" borderId="0" pivotButton="0" quotePrefix="0" xfId="0"/>
    <xf numFmtId="0" fontId="4" fillId="0" borderId="1" applyAlignment="1" pivotButton="0" quotePrefix="0" xfId="0">
      <alignment horizontal="center" vertical="top" wrapText="1"/>
    </xf>
  </cellXfs>
  <cellStyles count="1">
    <cellStyle name="Normal" xfId="0" builtinId="0" hidden="0"/>
  </cellStyles>
  <dxfs count="3">
    <dxf>
      <font>
        <name val="Arial"/>
        <b val="1"/>
        <color rgb="00006100"/>
      </font>
      <fill>
        <patternFill patternType="solid">
          <fgColor rgb="00C6EFCE"/>
        </patternFill>
      </fill>
    </dxf>
    <dxf>
      <font>
        <name val="Arial"/>
        <b val="1"/>
        <color rgb="009C0006"/>
      </font>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zoomScale="90" workbookViewId="0">
      <selection activeCell="A1" sqref="A1"/>
    </sheetView>
  </sheetViews>
  <sheetFormatPr baseColWidth="8" defaultRowHeight="15"/>
  <cols>
    <col width="22" customWidth="1" min="1" max="1"/>
    <col width="70" customWidth="1" min="2" max="2"/>
    <col width="70" customWidth="1" min="3" max="3"/>
  </cols>
  <sheetData>
    <row r="1">
      <c r="A1" s="1" t="inlineStr">
        <is>
          <t>BÁO CÁO KIỂM THỬ – PHẦN MỀM QUẢN LÝ PHÒNG KHÁM THÚ CƯNG (PET CLINIC)</t>
        </is>
      </c>
    </row>
    <row r="2">
      <c r="A2" s="2" t="inlineStr">
        <is>
          <t>File tổng hợp test case, kết quả thực thi và danh sách lỗi. Đọc sheet này trước.</t>
        </is>
      </c>
    </row>
    <row r="4">
      <c r="A4" s="3" t="inlineStr">
        <is>
          <t>Sheet</t>
        </is>
      </c>
      <c r="B4" s="3" t="inlineStr">
        <is>
          <t>Nội dung</t>
        </is>
      </c>
      <c r="C4" s="3" t="inlineStr">
        <is>
          <t>Cách đọc</t>
        </is>
      </c>
    </row>
    <row r="5">
      <c r="A5" s="4" t="inlineStr">
        <is>
          <t>Tổng quan</t>
        </is>
      </c>
      <c r="B5" s="4" t="inlineStr">
        <is>
          <t>Thông tin dự án, môi trường, bảng thống kê Pass/Fail, lỗi theo mức độ</t>
        </is>
      </c>
      <c r="C5" s="4" t="inlineStr">
        <is>
          <t>Các con số được tính tự động bằng công thức từ các sheet bên dưới</t>
        </is>
      </c>
    </row>
    <row r="6">
      <c r="A6" s="4" t="inlineStr">
        <is>
          <t>TC chức năng</t>
        </is>
      </c>
      <c r="B6" s="4" t="inlineStr">
        <is>
          <t>74 test case kiểm thử chức năng trên giao diện (chạy tự động bằng Selenium)</t>
        </is>
      </c>
      <c r="C6" s="4" t="inlineStr">
        <is>
          <t>Mỗi dòng 1 test case: các bước, dữ liệu nhập, kết quả mong đợi, kết quả thực tế, trạng thái</t>
        </is>
      </c>
    </row>
    <row r="7">
      <c r="A7" s="4" t="inlineStr">
        <is>
          <t>Unit test</t>
        </is>
      </c>
      <c r="B7" s="4" t="inlineStr">
        <is>
          <t>30 unit test kiểm tra mã nguồn bên trong (schema dữ liệu, lớp nghiệp vụ)</t>
        </is>
      </c>
      <c r="C7" s="4" t="inlineStr">
        <is>
          <t>Cột “Đối tượng được test” cho biết hàm/schema nào trong mã nguồn</t>
        </is>
      </c>
    </row>
    <row r="8">
      <c r="A8" s="4" t="inlineStr">
        <is>
          <t>TC phi chức năng</t>
        </is>
      </c>
      <c r="B8" s="4" t="inlineStr">
        <is>
          <t>28 test case: tải, chịu tải, toàn vẹn dữ liệu, độ tin cậy và phục hồi</t>
        </is>
      </c>
      <c r="C8" s="4" t="inlineStr">
        <is>
          <t>Cột “Kết quả đo được” là số liệu thật đo bằng autocannon / Mocha</t>
        </is>
      </c>
    </row>
    <row r="9">
      <c r="A9" s="4" t="inlineStr">
        <is>
          <t>Danh sách lỗi</t>
        </is>
      </c>
      <c r="B9" s="4" t="inlineStr">
        <is>
          <t>Lỗi phát hiện, mức độ nghiêm trọng, bước tái hiện, vị trí nghi vấn trong mã nguồn</t>
        </is>
      </c>
      <c r="C9" s="4" t="inlineStr">
        <is>
          <t>Mã lỗi BUG-xxx được ghi ngược lại ở cột “Mã lỗi” của sheet test case</t>
        </is>
      </c>
    </row>
    <row r="11">
      <c r="A11" s="5" t="inlineStr">
        <is>
          <t>Trạng thái</t>
        </is>
      </c>
      <c r="B11" s="6" t="inlineStr"/>
    </row>
    <row r="12">
      <c r="A12" s="7" t="inlineStr">
        <is>
          <t>Pass</t>
        </is>
      </c>
      <c r="B12" s="6" t="inlineStr">
        <is>
          <t>Kết quả thực tế đúng như kết quả mong đợi</t>
        </is>
      </c>
    </row>
    <row r="13">
      <c r="A13" s="8" t="inlineStr">
        <is>
          <t>Fail</t>
        </is>
      </c>
      <c r="B13" s="6" t="inlineStr">
        <is>
          <t>Kết quả thực tế khác kết quả mong đợi → có lỗi, xem sheet Danh sách lỗi</t>
        </is>
      </c>
    </row>
    <row r="14">
      <c r="A14" s="9" t="inlineStr">
        <is>
          <t>Blocked</t>
        </is>
      </c>
      <c r="B14" s="6" t="inlineStr">
        <is>
          <t>Không thực hiện được do bị chặn bởi lỗi khác / thiếu môi trường</t>
        </is>
      </c>
    </row>
    <row r="15">
      <c r="A15" s="10" t="inlineStr">
        <is>
          <t>Not Run</t>
        </is>
      </c>
      <c r="B15" s="6" t="inlineStr">
        <is>
          <t>Chưa thực hiện</t>
        </is>
      </c>
    </row>
    <row r="16">
      <c r="A16" s="5" t="inlineStr"/>
      <c r="B16" s="6" t="inlineStr"/>
    </row>
    <row r="17">
      <c r="A17" s="5" t="inlineStr">
        <is>
          <t>Mức độ lỗi</t>
        </is>
      </c>
      <c r="B17" s="6" t="inlineStr"/>
    </row>
    <row r="18">
      <c r="A18" s="10" t="inlineStr">
        <is>
          <t>Cao</t>
        </is>
      </c>
      <c r="B18" s="6" t="inlineStr">
        <is>
          <t>Chức năng chính không dùng được, mất/sai dữ liệu, lỗ hổng bảo mật</t>
        </is>
      </c>
    </row>
    <row r="19">
      <c r="A19" s="10" t="inlineStr">
        <is>
          <t>Trung bình</t>
        </is>
      </c>
      <c r="B19" s="6" t="inlineStr">
        <is>
          <t>Vi phạm quy tắc nghiệp vụ nhưng vẫn thao tác được</t>
        </is>
      </c>
    </row>
    <row r="20">
      <c r="A20" s="10" t="inlineStr">
        <is>
          <t>Thấp</t>
        </is>
      </c>
      <c r="B20" s="6" t="inlineStr">
        <is>
          <t>Thông báo thiếu/khó hiểu, lỗi hiển thị</t>
        </is>
      </c>
    </row>
    <row r="21">
      <c r="A21" s="5" t="inlineStr"/>
      <c r="B21" s="6" t="inlineStr"/>
    </row>
    <row r="22">
      <c r="A22" s="10" t="inlineStr">
        <is>
          <t>Cập nhật kết quả</t>
        </is>
      </c>
      <c r="B22" s="6" t="inlineStr">
        <is>
          <t>Khi kiểm thử lại: sửa cột Trạng thái (chọn trong danh sách) và Kết quả thực tế; sheet Tổng quan tự cập nhật.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zoomScale="90" workbookViewId="0">
      <selection activeCell="A1" sqref="A1"/>
    </sheetView>
  </sheetViews>
  <sheetFormatPr baseColWidth="8" defaultRowHeight="15"/>
  <cols>
    <col width="36" customWidth="1" min="1" max="1"/>
    <col width="12" customWidth="1" min="2" max="2"/>
    <col width="12" customWidth="1" min="3" max="3"/>
    <col width="12" customWidth="1" min="4" max="4"/>
    <col width="16" customWidth="1" min="5" max="5"/>
    <col width="14" customWidth="1" min="6" max="6"/>
  </cols>
  <sheetData>
    <row r="1">
      <c r="A1" s="1" t="inlineStr">
        <is>
          <t>TỔNG QUAN KẾT QUẢ KIỂM THỬ</t>
        </is>
      </c>
    </row>
    <row r="2">
      <c r="A2" s="2" t="inlineStr">
        <is>
          <t>Các ô số liệu là công thức – tự cập nhật khi sửa Trạng thái ở các sheet test case.</t>
        </is>
      </c>
    </row>
    <row r="4">
      <c r="A4" s="11" t="inlineStr">
        <is>
          <t>Phần mềm</t>
        </is>
      </c>
      <c r="B4" s="12" t="inlineStr">
        <is>
          <t>Pet Clinic Pro – quản lý phòng khám thú cưng (React + Express + MySQL)</t>
        </is>
      </c>
      <c r="C4" s="13" t="n"/>
      <c r="D4" s="13" t="n"/>
      <c r="E4" s="13" t="n"/>
      <c r="F4" s="14" t="n"/>
    </row>
    <row r="5">
      <c r="A5" s="11" t="inlineStr">
        <is>
          <t>Phiên bản kiểm thử</t>
        </is>
      </c>
      <c r="B5" s="12" t="inlineStr">
        <is>
          <t>1.0.0 (MySQL Edition), bản build production</t>
        </is>
      </c>
      <c r="C5" s="13" t="n"/>
      <c r="D5" s="13" t="n"/>
      <c r="E5" s="13" t="n"/>
      <c r="F5" s="14" t="n"/>
    </row>
    <row r="6">
      <c r="A6" s="11" t="inlineStr">
        <is>
          <t>Môi trường</t>
        </is>
      </c>
      <c r="B6" s="12" t="inlineStr">
        <is>
          <t>Windows 10/11; Microsoft Edge (headless 1440×900); Node.js 20+; MySQL 8.x – CSDL kiểm thử riêng</t>
        </is>
      </c>
      <c r="C6" s="13" t="n"/>
      <c r="D6" s="13" t="n"/>
      <c r="E6" s="13" t="n"/>
      <c r="F6" s="14" t="n"/>
    </row>
    <row r="7">
      <c r="A7" s="11" t="inlineStr">
        <is>
          <t>Dữ liệu mẫu</t>
        </is>
      </c>
      <c r="B7" s="12" t="inlineStr">
        <is>
          <t>12 bác sĩ, 30 khách hàng, 50 thú cưng, 30 vật tư, 60 lịch hẹn, 43 hồ sơ khám, 15 camera, 31 ca trực, 60 hóa đơn</t>
        </is>
      </c>
      <c r="C7" s="13" t="n"/>
      <c r="D7" s="13" t="n"/>
      <c r="E7" s="13" t="n"/>
      <c r="F7" s="14" t="n"/>
    </row>
    <row r="8">
      <c r="A8" s="11" t="inlineStr">
        <is>
          <t>Công cụ</t>
        </is>
      </c>
      <c r="B8" s="12" t="inlineStr">
        <is>
          <t>Mocha, Selenium WebDriver, tsx, autocannon, mysql2</t>
        </is>
      </c>
      <c r="C8" s="13" t="n"/>
      <c r="D8" s="13" t="n"/>
      <c r="E8" s="13" t="n"/>
      <c r="F8" s="14" t="n"/>
    </row>
    <row r="9">
      <c r="A9" s="11" t="inlineStr">
        <is>
          <t>Thời gian thực hiện</t>
        </is>
      </c>
      <c r="B9" s="12" t="inlineStr">
        <is>
          <t>02/10/2026 – 03/10/2026</t>
        </is>
      </c>
      <c r="C9" s="13" t="n"/>
      <c r="D9" s="13" t="n"/>
      <c r="E9" s="13" t="n"/>
      <c r="F9" s="14" t="n"/>
    </row>
    <row r="10">
      <c r="A10" s="11" t="inlineStr">
        <is>
          <t>Người thực hiện</t>
        </is>
      </c>
      <c r="B10" s="12" t="inlineStr">
        <is>
          <t>Nhóm kiểm thử</t>
        </is>
      </c>
      <c r="C10" s="13" t="n"/>
      <c r="D10" s="13" t="n"/>
      <c r="E10" s="13" t="n"/>
      <c r="F10" s="14" t="n"/>
    </row>
    <row r="12">
      <c r="A12" s="15" t="inlineStr">
        <is>
          <t>1. Kết quả theo loại kiểm thử</t>
        </is>
      </c>
    </row>
    <row r="13">
      <c r="A13" s="16" t="inlineStr">
        <is>
          <t>Loại kiểm thử</t>
        </is>
      </c>
      <c r="B13" s="16" t="inlineStr">
        <is>
          <t>Tổng</t>
        </is>
      </c>
      <c r="C13" s="16" t="inlineStr">
        <is>
          <t>Pass</t>
        </is>
      </c>
      <c r="D13" s="16" t="inlineStr">
        <is>
          <t>Fail</t>
        </is>
      </c>
      <c r="E13" s="16" t="inlineStr">
        <is>
          <t>Chưa chạy / Blocked</t>
        </is>
      </c>
      <c r="F13" s="16" t="inlineStr">
        <is>
          <t>Tỷ lệ Pass</t>
        </is>
      </c>
    </row>
    <row r="14">
      <c r="A14" s="12" t="inlineStr">
        <is>
          <t>Kiểm thử chức năng (giao diện)</t>
        </is>
      </c>
      <c r="B14" s="17">
        <f>COUNTA('TC chức năng'!B5:B78)</f>
        <v/>
      </c>
      <c r="C14" s="17">
        <f>COUNTIF('TC chức năng'!K5:K78,"Pass")</f>
        <v/>
      </c>
      <c r="D14" s="17">
        <f>COUNTIF('TC chức năng'!K5:K78,"Fail")</f>
        <v/>
      </c>
      <c r="E14" s="17">
        <f>B14-C14-D14</f>
        <v/>
      </c>
      <c r="F14" s="18">
        <f>IF(B14=0,0,C14/B14)</f>
        <v/>
      </c>
    </row>
    <row r="15">
      <c r="A15" s="12" t="inlineStr">
        <is>
          <t>Kiểm thử đơn vị (Unit test)</t>
        </is>
      </c>
      <c r="B15" s="17">
        <f>COUNTA('Unit test'!B5:B34)</f>
        <v/>
      </c>
      <c r="C15" s="17">
        <f>COUNTIF('Unit test'!G5:G34,"Pass")</f>
        <v/>
      </c>
      <c r="D15" s="17">
        <f>COUNTIF('Unit test'!G5:G34,"Fail")</f>
        <v/>
      </c>
      <c r="E15" s="17">
        <f>B15-C15-D15</f>
        <v/>
      </c>
      <c r="F15" s="18">
        <f>IF(B15=0,0,C15/B15)</f>
        <v/>
      </c>
    </row>
    <row r="16">
      <c r="A16" s="12" t="inlineStr">
        <is>
          <t>Kiểm thử phi chức năng</t>
        </is>
      </c>
      <c r="B16" s="17">
        <f>COUNTA('TC phi chức năng'!B5:B32)</f>
        <v/>
      </c>
      <c r="C16" s="17">
        <f>COUNTIF('TC phi chức năng'!I5:I32,"Pass")</f>
        <v/>
      </c>
      <c r="D16" s="17">
        <f>COUNTIF('TC phi chức năng'!I5:I32,"Fail")</f>
        <v/>
      </c>
      <c r="E16" s="17">
        <f>B16-C16-D16</f>
        <v/>
      </c>
      <c r="F16" s="18">
        <f>IF(B16=0,0,C16/B16)</f>
        <v/>
      </c>
    </row>
    <row r="17">
      <c r="A17" s="11" t="inlineStr">
        <is>
          <t>TỔNG CỘNG</t>
        </is>
      </c>
      <c r="B17" s="19">
        <f>SUM(B14:B16)</f>
        <v/>
      </c>
      <c r="C17" s="19">
        <f>SUM(C14:C16)</f>
        <v/>
      </c>
      <c r="D17" s="19">
        <f>SUM(D14:D16)</f>
        <v/>
      </c>
      <c r="E17" s="19">
        <f>SUM(E14:E16)</f>
        <v/>
      </c>
      <c r="F17" s="20">
        <f>IF(B17=0,0,C17/B17)</f>
        <v/>
      </c>
    </row>
    <row r="19">
      <c r="A19" s="15" t="inlineStr">
        <is>
          <t>2. Kiểm thử chức năng theo tác nhân</t>
        </is>
      </c>
    </row>
    <row r="20">
      <c r="A20" s="21" t="inlineStr">
        <is>
          <t>Tác nhân</t>
        </is>
      </c>
      <c r="B20" s="21" t="inlineStr">
        <is>
          <t>Tổng</t>
        </is>
      </c>
      <c r="C20" s="21" t="inlineStr">
        <is>
          <t>Pass</t>
        </is>
      </c>
      <c r="D20" s="21" t="inlineStr">
        <is>
          <t>Fail</t>
        </is>
      </c>
      <c r="E20" s="21" t="n"/>
      <c r="F20" s="21" t="inlineStr">
        <is>
          <t>Tỷ lệ Pass</t>
        </is>
      </c>
    </row>
    <row r="21">
      <c r="A21" s="12" t="inlineStr">
        <is>
          <t>HỆ THỐNG</t>
        </is>
      </c>
      <c r="B21" s="17">
        <f>COUNTIF('TC chức năng'!C5:C78,A21)</f>
        <v/>
      </c>
      <c r="C21" s="17">
        <f>COUNTIFS('TC chức năng'!C5:C78,A21,'TC chức năng'!K5:K78,"Pass")</f>
        <v/>
      </c>
      <c r="D21" s="17">
        <f>COUNTIFS('TC chức năng'!C5:C78,A21,'TC chức năng'!K5:K78,"Fail")</f>
        <v/>
      </c>
      <c r="E21" s="17" t="n"/>
      <c r="F21" s="18">
        <f>IF(B21=0,0,C21/B21)</f>
        <v/>
      </c>
    </row>
    <row r="22">
      <c r="A22" s="12" t="inlineStr">
        <is>
          <t>LỄ TÂN</t>
        </is>
      </c>
      <c r="B22" s="17">
        <f>COUNTIF('TC chức năng'!C5:C78,A22)</f>
        <v/>
      </c>
      <c r="C22" s="17">
        <f>COUNTIFS('TC chức năng'!C5:C78,A22,'TC chức năng'!K5:K78,"Pass")</f>
        <v/>
      </c>
      <c r="D22" s="17">
        <f>COUNTIFS('TC chức năng'!C5:C78,A22,'TC chức năng'!K5:K78,"Fail")</f>
        <v/>
      </c>
      <c r="E22" s="17" t="n"/>
      <c r="F22" s="18">
        <f>IF(B22=0,0,C22/B22)</f>
        <v/>
      </c>
    </row>
    <row r="23">
      <c r="A23" s="12" t="inlineStr">
        <is>
          <t>BÁC SĨ</t>
        </is>
      </c>
      <c r="B23" s="17">
        <f>COUNTIF('TC chức năng'!C5:C78,A23)</f>
        <v/>
      </c>
      <c r="C23" s="17">
        <f>COUNTIFS('TC chức năng'!C5:C78,A23,'TC chức năng'!K5:K78,"Pass")</f>
        <v/>
      </c>
      <c r="D23" s="17">
        <f>COUNTIFS('TC chức năng'!C5:C78,A23,'TC chức năng'!K5:K78,"Fail")</f>
        <v/>
      </c>
      <c r="E23" s="17" t="n"/>
      <c r="F23" s="18">
        <f>IF(B23=0,0,C23/B23)</f>
        <v/>
      </c>
    </row>
    <row r="24">
      <c r="A24" s="12" t="inlineStr">
        <is>
          <t>QUẢN TRỊ VIÊN / KẾ TOÁN</t>
        </is>
      </c>
      <c r="B24" s="17">
        <f>COUNTIF('TC chức năng'!C5:C78,A24)</f>
        <v/>
      </c>
      <c r="C24" s="17">
        <f>COUNTIFS('TC chức năng'!C5:C78,A24,'TC chức năng'!K5:K78,"Pass")</f>
        <v/>
      </c>
      <c r="D24" s="17">
        <f>COUNTIFS('TC chức năng'!C5:C78,A24,'TC chức năng'!K5:K78,"Fail")</f>
        <v/>
      </c>
      <c r="E24" s="17" t="n"/>
      <c r="F24" s="18">
        <f>IF(B24=0,0,C24/B24)</f>
        <v/>
      </c>
    </row>
    <row r="26">
      <c r="A26" s="15" t="inlineStr">
        <is>
          <t>3. Kiểm thử phi chức năng theo loại</t>
        </is>
      </c>
    </row>
    <row r="27">
      <c r="A27" s="21" t="inlineStr">
        <is>
          <t>Loại</t>
        </is>
      </c>
      <c r="B27" s="21" t="inlineStr">
        <is>
          <t>Tổng</t>
        </is>
      </c>
      <c r="C27" s="21" t="inlineStr">
        <is>
          <t>Pass</t>
        </is>
      </c>
      <c r="D27" s="21" t="inlineStr">
        <is>
          <t>Fail</t>
        </is>
      </c>
      <c r="E27" s="21" t="n"/>
      <c r="F27" s="21" t="inlineStr">
        <is>
          <t>Tỷ lệ Pass</t>
        </is>
      </c>
    </row>
    <row r="28">
      <c r="A28" s="12" t="inlineStr">
        <is>
          <t>Tải &amp; hiệu năng</t>
        </is>
      </c>
      <c r="B28" s="17">
        <f>COUNTIF('TC phi chức năng'!C5:C32,A28)</f>
        <v/>
      </c>
      <c r="C28" s="17">
        <f>COUNTIFS('TC phi chức năng'!C5:C32,A28,'TC phi chức năng'!I5:I32,"Pass")</f>
        <v/>
      </c>
      <c r="D28" s="17">
        <f>COUNTIFS('TC phi chức năng'!C5:C32,A28,'TC phi chức năng'!I5:I32,"Fail")</f>
        <v/>
      </c>
      <c r="E28" s="17" t="n"/>
      <c r="F28" s="18">
        <f>IF(B28=0,0,C28/B28)</f>
        <v/>
      </c>
    </row>
    <row r="29">
      <c r="A29" s="12" t="inlineStr">
        <is>
          <t>Chịu tải</t>
        </is>
      </c>
      <c r="B29" s="17">
        <f>COUNTIF('TC phi chức năng'!C5:C32,A29)</f>
        <v/>
      </c>
      <c r="C29" s="17">
        <f>COUNTIFS('TC phi chức năng'!C5:C32,A29,'TC phi chức năng'!I5:I32,"Pass")</f>
        <v/>
      </c>
      <c r="D29" s="17">
        <f>COUNTIFS('TC phi chức năng'!C5:C32,A29,'TC phi chức năng'!I5:I32,"Fail")</f>
        <v/>
      </c>
      <c r="E29" s="17" t="n"/>
      <c r="F29" s="18">
        <f>IF(B29=0,0,C29/B29)</f>
        <v/>
      </c>
    </row>
    <row r="30">
      <c r="A30" s="12" t="inlineStr">
        <is>
          <t>Toàn vẹn dữ liệu</t>
        </is>
      </c>
      <c r="B30" s="17">
        <f>COUNTIF('TC phi chức năng'!C5:C32,A30)</f>
        <v/>
      </c>
      <c r="C30" s="17">
        <f>COUNTIFS('TC phi chức năng'!C5:C32,A30,'TC phi chức năng'!I5:I32,"Pass")</f>
        <v/>
      </c>
      <c r="D30" s="17">
        <f>COUNTIFS('TC phi chức năng'!C5:C32,A30,'TC phi chức năng'!I5:I32,"Fail")</f>
        <v/>
      </c>
      <c r="E30" s="17" t="n"/>
      <c r="F30" s="18">
        <f>IF(B30=0,0,C30/B30)</f>
        <v/>
      </c>
    </row>
    <row r="31">
      <c r="A31" s="12" t="inlineStr">
        <is>
          <t>Tin cậy &amp; phục hồi</t>
        </is>
      </c>
      <c r="B31" s="17">
        <f>COUNTIF('TC phi chức năng'!C5:C32,A31)</f>
        <v/>
      </c>
      <c r="C31" s="17">
        <f>COUNTIFS('TC phi chức năng'!C5:C32,A31,'TC phi chức năng'!I5:I32,"Pass")</f>
        <v/>
      </c>
      <c r="D31" s="17">
        <f>COUNTIFS('TC phi chức năng'!C5:C32,A31,'TC phi chức năng'!I5:I32,"Fail")</f>
        <v/>
      </c>
      <c r="E31" s="17" t="n"/>
      <c r="F31" s="18">
        <f>IF(B31=0,0,C31/B31)</f>
        <v/>
      </c>
    </row>
    <row r="33">
      <c r="A33" s="15" t="inlineStr">
        <is>
          <t>4. Lỗi theo mức độ nghiêm trọng</t>
        </is>
      </c>
    </row>
    <row r="34">
      <c r="A34" s="21" t="inlineStr">
        <is>
          <t>Mức độ</t>
        </is>
      </c>
      <c r="B34" s="21" t="inlineStr">
        <is>
          <t>Số lỗi</t>
        </is>
      </c>
      <c r="C34" s="21" t="inlineStr">
        <is>
          <t>Chưa đóng</t>
        </is>
      </c>
    </row>
    <row r="35">
      <c r="A35" s="22" t="inlineStr">
        <is>
          <t>Cao</t>
        </is>
      </c>
      <c r="B35" s="17">
        <f>COUNTIF('Danh sách lỗi'!E5:E28,A35)</f>
        <v/>
      </c>
      <c r="C35" s="17">
        <f>COUNTIFS('Danh sách lỗi'!E5:E28,A35,'Danh sách lỗi'!K5:K28,"&lt;&gt;Đóng (Closed)")</f>
        <v/>
      </c>
    </row>
    <row r="36">
      <c r="A36" s="23" t="inlineStr">
        <is>
          <t>Trung bình</t>
        </is>
      </c>
      <c r="B36" s="17">
        <f>COUNTIF('Danh sách lỗi'!E5:E28,A36)</f>
        <v/>
      </c>
      <c r="C36" s="17">
        <f>COUNTIFS('Danh sách lỗi'!E5:E28,A36,'Danh sách lỗi'!K5:K28,"&lt;&gt;Đóng (Closed)")</f>
        <v/>
      </c>
    </row>
    <row r="37">
      <c r="A37" s="12" t="inlineStr">
        <is>
          <t>Thấp</t>
        </is>
      </c>
      <c r="B37" s="17">
        <f>COUNTIF('Danh sách lỗi'!E5:E28,A37)</f>
        <v/>
      </c>
      <c r="C37" s="17">
        <f>COUNTIFS('Danh sách lỗi'!E5:E28,A37,'Danh sách lỗi'!K5:K28,"&lt;&gt;Đóng (Closed)")</f>
        <v/>
      </c>
    </row>
    <row r="38">
      <c r="A38" s="11" t="inlineStr">
        <is>
          <t>Tổng số lỗi</t>
        </is>
      </c>
      <c r="B38" s="11">
        <f>SUM(B35:B37)</f>
        <v/>
      </c>
      <c r="C38" s="11">
        <f>SUM(C35:C37)</f>
        <v/>
      </c>
    </row>
    <row r="40">
      <c r="A40" s="15" t="inlineStr">
        <is>
          <t>5. Kết luận</t>
        </is>
      </c>
    </row>
    <row r="41">
      <c r="A41" s="24">
        <f>IF(AND(F14&gt;=0.9,B35=0),"ĐẠT điều kiện chấp thuận","CHƯA ĐẠT điều kiện chấp thuận (cần ≥ 90% Pass chức năng và không còn lỗi mức Cao)")</f>
        <v/>
      </c>
    </row>
    <row r="42">
      <c r="A42" s="25" t="inlineStr">
        <is>
          <t>Ghi chú: số liệu hiệu năng đo khi máy sinh tải và máy chủ chạy chung một máy – mang tính tham khảo.</t>
        </is>
      </c>
    </row>
  </sheetData>
  <mergeCells count="9">
    <mergeCell ref="B4:F4"/>
    <mergeCell ref="A41:F41"/>
    <mergeCell ref="B7:F7"/>
    <mergeCell ref="A42:F42"/>
    <mergeCell ref="B6:F6"/>
    <mergeCell ref="B10:F10"/>
    <mergeCell ref="B5:F5"/>
    <mergeCell ref="B8:F8"/>
    <mergeCell ref="B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16" customWidth="1" min="3" max="3"/>
    <col width="22" customWidth="1" min="4" max="4"/>
    <col width="30" customWidth="1" min="5" max="5"/>
    <col width="18" customWidth="1" min="6" max="6"/>
    <col width="48" customWidth="1" min="7" max="7"/>
    <col width="22" customWidth="1" min="8" max="8"/>
    <col width="34" customWidth="1" min="9" max="9"/>
    <col width="38" customWidth="1" min="10" max="10"/>
    <col width="11" customWidth="1" min="11" max="11"/>
    <col width="11" customWidth="1" min="12" max="12"/>
    <col width="10" customWidth="1" min="13" max="13"/>
    <col width="14" customWidth="1" min="14" max="14"/>
    <col width="11" customWidth="1" min="15" max="15"/>
  </cols>
  <sheetData>
    <row r="1">
      <c r="A1" s="1" t="inlineStr">
        <is>
          <t>TEST CASE KIỂM THỬ CHỨC NĂNG</t>
        </is>
      </c>
    </row>
    <row r="2">
      <c r="A2" s="2" t="inlineStr">
        <is>
          <t>Công cụ: Mocha + Selenium WebDriver (Microsoft Edge, headless). Dữ liệu mẫu nạp lại trước khi chạy.</t>
        </is>
      </c>
    </row>
    <row r="4" ht="32" customHeight="1">
      <c r="A4" s="16" t="inlineStr">
        <is>
          <t>STT</t>
        </is>
      </c>
      <c r="B4" s="16" t="inlineStr">
        <is>
          <t>Test Case ID</t>
        </is>
      </c>
      <c r="C4" s="16" t="inlineStr">
        <is>
          <t>Tác nhân</t>
        </is>
      </c>
      <c r="D4" s="16" t="inlineStr">
        <is>
          <t>Chức năng (Use Case)</t>
        </is>
      </c>
      <c r="E4" s="16" t="inlineStr">
        <is>
          <t>Mô tả test case</t>
        </is>
      </c>
      <c r="F4" s="16" t="inlineStr">
        <is>
          <t>Điều kiện trước</t>
        </is>
      </c>
      <c r="G4" s="16" t="inlineStr">
        <is>
          <t>Các bước thực hiện → kết quả từng bước</t>
        </is>
      </c>
      <c r="H4" s="16" t="inlineStr">
        <is>
          <t>Dữ liệu đầu vào</t>
        </is>
      </c>
      <c r="I4" s="16" t="inlineStr">
        <is>
          <t>Kết quả mong đợi</t>
        </is>
      </c>
      <c r="J4" s="16" t="inlineStr">
        <is>
          <t>Kết quả thực tế</t>
        </is>
      </c>
      <c r="K4" s="16" t="inlineStr">
        <is>
          <t>Trạng thái</t>
        </is>
      </c>
      <c r="L4" s="16" t="inlineStr">
        <is>
          <t>Mức độ lỗi</t>
        </is>
      </c>
      <c r="M4" s="16" t="inlineStr">
        <is>
          <t>Mã lỗi</t>
        </is>
      </c>
      <c r="N4" s="16" t="inlineStr">
        <is>
          <t>Người test</t>
        </is>
      </c>
      <c r="O4" s="16" t="inlineStr">
        <is>
          <t>Ngày test</t>
        </is>
      </c>
    </row>
    <row r="5">
      <c r="A5" s="26" t="n">
        <v>1</v>
      </c>
      <c r="B5" s="26" t="inlineStr">
        <is>
          <t>SYS-TC001</t>
        </is>
      </c>
      <c r="C5" s="4" t="inlineStr">
        <is>
          <t>HỆ THỐNG</t>
        </is>
      </c>
      <c r="D5" s="4" t="inlineStr">
        <is>
          <t>Truy cập hệ thống &amp; trang Tổng quan</t>
        </is>
      </c>
      <c r="E5" s="4" t="inlineStr">
        <is>
          <t>Truy cập trang chủ của hệ thống</t>
        </is>
      </c>
      <c r="F5" s="4" t="inlineStr">
        <is>
          <t>Ứng dụng đang chạy; dữ liệu mẫu đã nạp</t>
        </is>
      </c>
      <c r="G5" s="4" t="inlineStr">
        <is>
          <t>1. Mở trình duyệt, truy cập địa chỉ hệ thống  → Trang web được truy cập
2. Quan sát trang Tổng quan  → Hiển thị tiêu đề và 6 thẻ thống kê</t>
        </is>
      </c>
      <c r="H5" s="4" t="inlineStr">
        <is>
          <t>http://localhost:5000</t>
        </is>
      </c>
      <c r="I5" s="4" t="inlineStr">
        <is>
          <t>Trang "Tổng quan vận hành phòng khám" hiển thị đủ 6 thẻ thống kê</t>
        </is>
      </c>
      <c r="J5" s="4" t="inlineStr">
        <is>
          <t>Trang Tổng quan hiển thị đầy đủ 6 thẻ thống kê</t>
        </is>
      </c>
      <c r="K5" s="26" t="inlineStr">
        <is>
          <t>Pass</t>
        </is>
      </c>
      <c r="L5" s="26" t="inlineStr"/>
      <c r="M5" s="26" t="inlineStr"/>
      <c r="N5" s="4" t="inlineStr">
        <is>
          <t>Nhóm kiểm thử</t>
        </is>
      </c>
      <c r="O5" s="26" t="inlineStr">
        <is>
          <t>03/10/2026</t>
        </is>
      </c>
    </row>
    <row r="6">
      <c r="A6" s="26" t="n">
        <v>2</v>
      </c>
      <c r="B6" s="26" t="inlineStr">
        <is>
          <t>SYS-TC002</t>
        </is>
      </c>
      <c r="C6" s="4" t="inlineStr">
        <is>
          <t>HỆ THỐNG</t>
        </is>
      </c>
      <c r="D6" s="4" t="inlineStr">
        <is>
          <t>Truy cập hệ thống &amp; trang Tổng quan</t>
        </is>
      </c>
      <c r="E6" s="4" t="inlineStr">
        <is>
          <t>Điều hướng tới các chức năng qua thanh menu bên trái</t>
        </is>
      </c>
      <c r="F6" s="4" t="inlineStr">
        <is>
          <t>Ứng dụng đang chạy; dữ liệu mẫu đã nạp</t>
        </is>
      </c>
      <c r="G6" s="4" t="inlineStr">
        <is>
          <t>1. Truy cập trang chủ  → Trang Tổng quan được hiển thị
2. Lần lượt chọn từng mục trên menu  → Trang tương ứng được hiển thị</t>
        </is>
      </c>
      <c r="H6" s="4" t="inlineStr">
        <is>
          <t>Bác sĩ, Khách hàng, Lịch hẹn, Hồ sơ khám, Ca bác sĩ, Kho thuốc, Hóa đơn, Camera giám sát</t>
        </is>
      </c>
      <c r="I6" s="4" t="inlineStr">
        <is>
          <t>Mỗi mục menu mở đúng trang chức năng tương ứng</t>
        </is>
      </c>
      <c r="J6" s="4" t="inlineStr">
        <is>
          <t>Cả 8 mục menu mở đúng trang</t>
        </is>
      </c>
      <c r="K6" s="26" t="inlineStr">
        <is>
          <t>Pass</t>
        </is>
      </c>
      <c r="L6" s="26" t="inlineStr"/>
      <c r="M6" s="26" t="inlineStr"/>
      <c r="N6" s="4" t="inlineStr">
        <is>
          <t>Nhóm kiểm thử</t>
        </is>
      </c>
      <c r="O6" s="26" t="inlineStr">
        <is>
          <t>03/10/2026</t>
        </is>
      </c>
    </row>
    <row r="7">
      <c r="A7" s="26" t="n">
        <v>3</v>
      </c>
      <c r="B7" s="26" t="inlineStr">
        <is>
          <t>SYS-TC003</t>
        </is>
      </c>
      <c r="C7" s="4" t="inlineStr">
        <is>
          <t>HỆ THỐNG</t>
        </is>
      </c>
      <c r="D7" s="4" t="inlineStr">
        <is>
          <t>Truy cập hệ thống &amp; trang Tổng quan</t>
        </is>
      </c>
      <c r="E7" s="4" t="inlineStr">
        <is>
          <t>Truy cập đường dẫn không tồn tại</t>
        </is>
      </c>
      <c r="F7" s="4" t="inlineStr">
        <is>
          <t>Ứng dụng đang chạy; dữ liệu mẫu đã nạp</t>
        </is>
      </c>
      <c r="G7" s="4" t="inlineStr">
        <is>
          <t>1. Nhập đường dẫn không tồn tại trên thanh địa chỉ  → Hệ thống xử lý đường dẫn</t>
        </is>
      </c>
      <c r="H7" s="4" t="inlineStr">
        <is>
          <t>/trang-khong-ton-tai</t>
        </is>
      </c>
      <c r="I7" s="4" t="inlineStr">
        <is>
          <t>Hiển thị trang "404 - Không tìm thấy trang"</t>
        </is>
      </c>
      <c r="J7" s="4" t="inlineStr">
        <is>
          <t>Hiển thị trang 404</t>
        </is>
      </c>
      <c r="K7" s="26" t="inlineStr">
        <is>
          <t>Pass</t>
        </is>
      </c>
      <c r="L7" s="26" t="inlineStr"/>
      <c r="M7" s="26" t="inlineStr"/>
      <c r="N7" s="4" t="inlineStr">
        <is>
          <t>Nhóm kiểm thử</t>
        </is>
      </c>
      <c r="O7" s="26" t="inlineStr">
        <is>
          <t>03/10/2026</t>
        </is>
      </c>
    </row>
    <row r="8">
      <c r="A8" s="26" t="n">
        <v>4</v>
      </c>
      <c r="B8" s="26" t="inlineStr">
        <is>
          <t>SYS-TC004</t>
        </is>
      </c>
      <c r="C8" s="4" t="inlineStr">
        <is>
          <t>HỆ THỐNG</t>
        </is>
      </c>
      <c r="D8" s="4" t="inlineStr">
        <is>
          <t>Đăng nhập &amp; phân quyền (RBAC – R6.2)</t>
        </is>
      </c>
      <c r="E8" s="4" t="inlineStr">
        <is>
          <t>Truy cập chức năng quản lý khi chưa đăng nhập</t>
        </is>
      </c>
      <c r="F8" s="4" t="inlineStr">
        <is>
          <t>Ứng dụng đang chạy; dữ liệu mẫu đã nạp</t>
        </is>
      </c>
      <c r="G8" s="4" t="inlineStr">
        <is>
          <t>1. Mở trình duyệt mới (chưa đăng nhập)  → Không có phiên đăng nhập
2. Truy cập trực tiếp trang Khách hàng  → Hệ thống chuyển tới trang đăng nhập</t>
        </is>
      </c>
      <c r="H8" s="4" t="inlineStr">
        <is>
          <t>/customers</t>
        </is>
      </c>
      <c r="I8" s="4" t="inlineStr">
        <is>
          <t>Hệ thống yêu cầu đăng nhập, không cho xem dữ liệu khách hàng</t>
        </is>
      </c>
      <c r="J8" s="4" t="inlineStr">
        <is>
          <t>Không có trang đăng nhập – truy cập thẳng được danh sách khách hàng</t>
        </is>
      </c>
      <c r="K8" s="26" t="inlineStr">
        <is>
          <t>Fail</t>
        </is>
      </c>
      <c r="L8" s="26" t="inlineStr">
        <is>
          <t>Cao</t>
        </is>
      </c>
      <c r="M8" s="26" t="inlineStr">
        <is>
          <t>BUG-001</t>
        </is>
      </c>
      <c r="N8" s="4" t="inlineStr">
        <is>
          <t>Nhóm kiểm thử</t>
        </is>
      </c>
      <c r="O8" s="26" t="inlineStr">
        <is>
          <t>03/10/2026</t>
        </is>
      </c>
    </row>
    <row r="9">
      <c r="A9" s="26" t="n">
        <v>5</v>
      </c>
      <c r="B9" s="26" t="inlineStr">
        <is>
          <t>SYS-TC005</t>
        </is>
      </c>
      <c r="C9" s="4" t="inlineStr">
        <is>
          <t>HỆ THỐNG</t>
        </is>
      </c>
      <c r="D9" s="4" t="inlineStr">
        <is>
          <t>Truy cập hệ thống &amp; trang Tổng quan</t>
        </is>
      </c>
      <c r="E9" s="4" t="inlineStr">
        <is>
          <t>Chuyển đổi giao diện sáng/tối</t>
        </is>
      </c>
      <c r="F9" s="4" t="inlineStr">
        <is>
          <t>Ứng dụng đang chạy; dữ liệu mẫu đã nạp</t>
        </is>
      </c>
      <c r="G9" s="4" t="inlineStr">
        <is>
          <t>1. Truy cập trang chủ  → Giao diện sáng
2. Nhấn nút đổi giao diện ở góc phải  → Giao diện chuyển sang tối
3. Nhấn lại nút  → Giao diện trở lại sáng</t>
        </is>
      </c>
      <c r="H9" s="4" t="inlineStr"/>
      <c r="I9" s="4" t="inlineStr">
        <is>
          <t>Giao diện chuyển đổi qua lại giữa sáng và tối</t>
        </is>
      </c>
      <c r="J9" s="4" t="inlineStr">
        <is>
          <t>Giao diện đổi sáng ↔ tối đúng</t>
        </is>
      </c>
      <c r="K9" s="26" t="inlineStr">
        <is>
          <t>Pass</t>
        </is>
      </c>
      <c r="L9" s="26" t="inlineStr"/>
      <c r="M9" s="26" t="inlineStr"/>
      <c r="N9" s="4" t="inlineStr">
        <is>
          <t>Nhóm kiểm thử</t>
        </is>
      </c>
      <c r="O9" s="26" t="inlineStr">
        <is>
          <t>03/10/2026</t>
        </is>
      </c>
    </row>
    <row r="10">
      <c r="A10" s="26" t="n">
        <v>6</v>
      </c>
      <c r="B10" s="26" t="inlineStr">
        <is>
          <t>UC1.1-TC001</t>
        </is>
      </c>
      <c r="C10" s="4" t="inlineStr">
        <is>
          <t>LỄ TÂN</t>
        </is>
      </c>
      <c r="D10" s="4" t="inlineStr">
        <is>
          <t>UC1.1 Tạo mới hồ sơ khách hàng</t>
        </is>
      </c>
      <c r="E10" s="4" t="inlineStr">
        <is>
          <t>Bỏ trống tất cả các trường và nhấn "Lưu khách hàng"</t>
        </is>
      </c>
      <c r="F10" s="4" t="inlineStr">
        <is>
          <t>Ứng dụng đang chạy; dữ liệu mẫu đã nạp</t>
        </is>
      </c>
      <c r="G10" s="4" t="inlineStr">
        <is>
          <t>1. Chọn "Thêm khách hàng"  → Form thêm khách hàng hiển thị
2. Bỏ trống Họ tên, Email, SĐT
3. Nhấn "Lưu khách hàng"  → Hiển thị thông báo lỗi</t>
        </is>
      </c>
      <c r="H10" s="4" t="inlineStr"/>
      <c r="I10" s="4" t="inlineStr">
        <is>
          <t>Hiển thị lỗi "Họ tên là bắt buộc", "Email không hợp lệ", "Số điện thoại phải gồm đúng 10 chữ số"</t>
        </is>
      </c>
      <c r="J10" s="4" t="inlineStr">
        <is>
          <t>Hiển thị đủ 3 thông báo lỗi, không lưu dữ liệu</t>
        </is>
      </c>
      <c r="K10" s="26" t="inlineStr">
        <is>
          <t>Pass</t>
        </is>
      </c>
      <c r="L10" s="26" t="inlineStr"/>
      <c r="M10" s="26" t="inlineStr"/>
      <c r="N10" s="4" t="inlineStr">
        <is>
          <t>Nhóm kiểm thử</t>
        </is>
      </c>
      <c r="O10" s="26" t="inlineStr">
        <is>
          <t>03/10/2026</t>
        </is>
      </c>
    </row>
    <row r="11">
      <c r="A11" s="26" t="n">
        <v>7</v>
      </c>
      <c r="B11" s="26" t="inlineStr">
        <is>
          <t>UC1.1-TC002</t>
        </is>
      </c>
      <c r="C11" s="4" t="inlineStr">
        <is>
          <t>LỄ TÂN</t>
        </is>
      </c>
      <c r="D11" s="4" t="inlineStr">
        <is>
          <t>UC1.1 Tạo mới hồ sơ khách hàng</t>
        </is>
      </c>
      <c r="E11" s="4" t="inlineStr">
        <is>
          <t>Bỏ trống Họ tên, các trường khác hợp lệ</t>
        </is>
      </c>
      <c r="F11" s="4" t="inlineStr">
        <is>
          <t>Ứng dụng đang chạy; dữ liệu mẫu đã nạp</t>
        </is>
      </c>
      <c r="G11" s="4" t="inlineStr">
        <is>
          <t>1. Chọn "Thêm khách hàng"  → Form hiển thị
2. Bỏ trống Họ tên
3. Nhập Email, SĐT hợp lệ
4. Nhấn "Lưu khách hàng"  → Hiển thị thông báo lỗi</t>
        </is>
      </c>
      <c r="H11" s="4" t="inlineStr">
        <is>
          <t>a@test.vn / 0987654321</t>
        </is>
      </c>
      <c r="I11" s="4" t="inlineStr">
        <is>
          <t>Hiển thị lỗi "Họ tên là bắt buộc"</t>
        </is>
      </c>
      <c r="J11" s="4" t="inlineStr">
        <is>
          <t>Hiển thị "Họ tên là bắt buộc"</t>
        </is>
      </c>
      <c r="K11" s="26" t="inlineStr">
        <is>
          <t>Pass</t>
        </is>
      </c>
      <c r="L11" s="26" t="inlineStr"/>
      <c r="M11" s="26" t="inlineStr"/>
      <c r="N11" s="4" t="inlineStr">
        <is>
          <t>Nhóm kiểm thử</t>
        </is>
      </c>
      <c r="O11" s="26" t="inlineStr">
        <is>
          <t>03/10/2026</t>
        </is>
      </c>
    </row>
    <row r="12">
      <c r="A12" s="26" t="n">
        <v>8</v>
      </c>
      <c r="B12" s="26" t="inlineStr">
        <is>
          <t>UC1.1-TC003</t>
        </is>
      </c>
      <c r="C12" s="4" t="inlineStr">
        <is>
          <t>LỄ TÂN</t>
        </is>
      </c>
      <c r="D12" s="4" t="inlineStr">
        <is>
          <t>UC1.1 Tạo mới hồ sơ khách hàng</t>
        </is>
      </c>
      <c r="E12" s="4" t="inlineStr">
        <is>
          <t>Email sai định dạng</t>
        </is>
      </c>
      <c r="F12" s="4" t="inlineStr">
        <is>
          <t>Ứng dụng đang chạy; dữ liệu mẫu đã nạp</t>
        </is>
      </c>
      <c r="G12" s="4" t="inlineStr">
        <is>
          <t>1. Chọn "Thêm khách hàng"  → Form hiển thị
2. Nhập Họ tên, SĐT hợp lệ
3. Nhập Email sai định dạng
4. Nhấn "Lưu khách hàng"  → Hiển thị thông báo lỗi</t>
        </is>
      </c>
      <c r="H12" s="4" t="inlineStr">
        <is>
          <t>Lê Minh / 0987654321
leminh.gmail.com</t>
        </is>
      </c>
      <c r="I12" s="4" t="inlineStr">
        <is>
          <t>Hiển thị thông báo email không hợp lệ, không lưu khách hàng</t>
        </is>
      </c>
      <c r="J12" s="4" t="inlineStr">
        <is>
          <t>Form không được gửi, trình duyệt báo: "Vui lòng bao gồm '@' trong địa chỉ email. 'leminh.gmail.com' đang thiếu một '@'."</t>
        </is>
      </c>
      <c r="K12" s="26" t="inlineStr">
        <is>
          <t>Pass</t>
        </is>
      </c>
      <c r="L12" s="26" t="inlineStr"/>
      <c r="M12" s="26" t="inlineStr"/>
      <c r="N12" s="4" t="inlineStr">
        <is>
          <t>Nhóm kiểm thử</t>
        </is>
      </c>
      <c r="O12" s="26" t="inlineStr">
        <is>
          <t>03/10/2026</t>
        </is>
      </c>
    </row>
    <row r="13">
      <c r="A13" s="26" t="n">
        <v>9</v>
      </c>
      <c r="B13" s="26" t="inlineStr">
        <is>
          <t>UC1.1-TC004</t>
        </is>
      </c>
      <c r="C13" s="4" t="inlineStr">
        <is>
          <t>LỄ TÂN</t>
        </is>
      </c>
      <c r="D13" s="4" t="inlineStr">
        <is>
          <t>UC1.1 Tạo mới hồ sơ khách hàng</t>
        </is>
      </c>
      <c r="E13" s="4" t="inlineStr">
        <is>
          <t>Kiểm thử giá trị biên: SĐT 9 chữ số</t>
        </is>
      </c>
      <c r="F13" s="4" t="inlineStr">
        <is>
          <t>Ứng dụng đang chạy; dữ liệu mẫu đã nạp</t>
        </is>
      </c>
      <c r="G13" s="4" t="inlineStr">
        <is>
          <t>1. Chọn "Thêm khách hàng"  → Form hiển thị
2. Nhập Họ tên, Email hợp lệ
3. Nhập SĐT 9 chữ số
4. Nhấn "Lưu khách hàng"  → Hiển thị thông báo lỗi</t>
        </is>
      </c>
      <c r="H13" s="4" t="inlineStr">
        <is>
          <t>Lê Minh / leminh@test.vn
098765432</t>
        </is>
      </c>
      <c r="I13" s="4" t="inlineStr">
        <is>
          <t>Hiển thị lỗi "Số điện thoại phải gồm đúng 10 chữ số"</t>
        </is>
      </c>
      <c r="J13" s="4" t="inlineStr">
        <is>
          <t>Hiển thị lỗi SĐT</t>
        </is>
      </c>
      <c r="K13" s="26" t="inlineStr">
        <is>
          <t>Pass</t>
        </is>
      </c>
      <c r="L13" s="26" t="inlineStr"/>
      <c r="M13" s="26" t="inlineStr"/>
      <c r="N13" s="4" t="inlineStr">
        <is>
          <t>Nhóm kiểm thử</t>
        </is>
      </c>
      <c r="O13" s="26" t="inlineStr">
        <is>
          <t>03/10/2026</t>
        </is>
      </c>
    </row>
    <row r="14">
      <c r="A14" s="26" t="n">
        <v>10</v>
      </c>
      <c r="B14" s="26" t="inlineStr">
        <is>
          <t>UC1.1-TC005</t>
        </is>
      </c>
      <c r="C14" s="4" t="inlineStr">
        <is>
          <t>LỄ TÂN</t>
        </is>
      </c>
      <c r="D14" s="4" t="inlineStr">
        <is>
          <t>UC1.1 Tạo mới hồ sơ khách hàng</t>
        </is>
      </c>
      <c r="E14" s="4" t="inlineStr">
        <is>
          <t>Kiểm thử giá trị biên: SĐT 11 chữ số</t>
        </is>
      </c>
      <c r="F14" s="4" t="inlineStr">
        <is>
          <t>Ứng dụng đang chạy; dữ liệu mẫu đã nạp</t>
        </is>
      </c>
      <c r="G14" s="4" t="inlineStr">
        <is>
          <t>1. Chọn "Thêm khách hàng"  → Form hiển thị
2. Nhập Họ tên, Email hợp lệ
3. Nhập SĐT 11 chữ số
4. Nhấn "Lưu khách hàng"  → Hiển thị thông báo lỗi</t>
        </is>
      </c>
      <c r="H14" s="4" t="inlineStr">
        <is>
          <t>Lê Minh / leminh@test.vn
09876543210</t>
        </is>
      </c>
      <c r="I14" s="4" t="inlineStr">
        <is>
          <t>Hiển thị lỗi "Số điện thoại phải gồm đúng 10 chữ số"</t>
        </is>
      </c>
      <c r="J14" s="4" t="inlineStr">
        <is>
          <t>Hiển thị lỗi SĐT</t>
        </is>
      </c>
      <c r="K14" s="26" t="inlineStr">
        <is>
          <t>Pass</t>
        </is>
      </c>
      <c r="L14" s="26" t="inlineStr"/>
      <c r="M14" s="26" t="inlineStr"/>
      <c r="N14" s="4" t="inlineStr">
        <is>
          <t>Nhóm kiểm thử</t>
        </is>
      </c>
      <c r="O14" s="26" t="inlineStr">
        <is>
          <t>03/10/2026</t>
        </is>
      </c>
    </row>
    <row r="15">
      <c r="A15" s="26" t="n">
        <v>11</v>
      </c>
      <c r="B15" s="26" t="inlineStr">
        <is>
          <t>UC1.1-TC006</t>
        </is>
      </c>
      <c r="C15" s="4" t="inlineStr">
        <is>
          <t>LỄ TÂN</t>
        </is>
      </c>
      <c r="D15" s="4" t="inlineStr">
        <is>
          <t>UC1.1 Tạo mới hồ sơ khách hàng</t>
        </is>
      </c>
      <c r="E15" s="4" t="inlineStr">
        <is>
          <t>SĐT chứa ký tự chữ</t>
        </is>
      </c>
      <c r="F15" s="4" t="inlineStr">
        <is>
          <t>Ứng dụng đang chạy; dữ liệu mẫu đã nạp</t>
        </is>
      </c>
      <c r="G15" s="4" t="inlineStr">
        <is>
          <t>1. Chọn "Thêm khách hàng"  → Form hiển thị
2. Nhập Họ tên, Email hợp lệ
3. Nhập SĐT có chữ
4. Nhấn "Lưu khách hàng"  → Hiển thị thông báo lỗi</t>
        </is>
      </c>
      <c r="H15" s="4" t="inlineStr">
        <is>
          <t>Lê Minh / leminh@test.vn
09ab123456</t>
        </is>
      </c>
      <c r="I15" s="4" t="inlineStr">
        <is>
          <t>Hiển thị lỗi "Số điện thoại phải gồm đúng 10 chữ số"</t>
        </is>
      </c>
      <c r="J15" s="4" t="inlineStr">
        <is>
          <t>Hiển thị lỗi SĐT</t>
        </is>
      </c>
      <c r="K15" s="26" t="inlineStr">
        <is>
          <t>Pass</t>
        </is>
      </c>
      <c r="L15" s="26" t="inlineStr"/>
      <c r="M15" s="26" t="inlineStr"/>
      <c r="N15" s="4" t="inlineStr">
        <is>
          <t>Nhóm kiểm thử</t>
        </is>
      </c>
      <c r="O15" s="26" t="inlineStr">
        <is>
          <t>03/10/2026</t>
        </is>
      </c>
    </row>
    <row r="16">
      <c r="A16" s="26" t="n">
        <v>12</v>
      </c>
      <c r="B16" s="26" t="inlineStr">
        <is>
          <t>UC1.1-TC007</t>
        </is>
      </c>
      <c r="C16" s="4" t="inlineStr">
        <is>
          <t>LỄ TÂN</t>
        </is>
      </c>
      <c r="D16" s="4" t="inlineStr">
        <is>
          <t>UC1.1 Tạo mới hồ sơ khách hàng</t>
        </is>
      </c>
      <c r="E16" s="4" t="inlineStr">
        <is>
          <t>Tất cả các trường nhập hợp lệ</t>
        </is>
      </c>
      <c r="F16" s="4" t="inlineStr">
        <is>
          <t>Ứng dụng đang chạy; dữ liệu mẫu đã nạp</t>
        </is>
      </c>
      <c r="G16" s="4" t="inlineStr">
        <is>
          <t>1. Chọn "Thêm khách hàng"  → Form hiển thị
2. Nhập Họ tên
3. Nhập Email
4. Nhập SĐT
5. Nhập Địa chỉ
6. Nhấn "Lưu khách hàng"  → Hiển thị thông báo thành công</t>
        </is>
      </c>
      <c r="H16" s="4" t="inlineStr">
        <is>
          <t>Khách Kiểm Thử 106379
kt106379@test.vn
0910637911
Hà Đông, Hà Nội</t>
        </is>
      </c>
      <c r="I16" s="4" t="inlineStr">
        <is>
          <t>Hiển thị "Thêm khách hàng thành công", khách hàng xuất hiện trong danh sách</t>
        </is>
      </c>
      <c r="J16" s="4" t="inlineStr">
        <is>
          <t>Thông báo thành công, khách hàng có trong danh sách</t>
        </is>
      </c>
      <c r="K16" s="26" t="inlineStr">
        <is>
          <t>Pass</t>
        </is>
      </c>
      <c r="L16" s="26" t="inlineStr"/>
      <c r="M16" s="26" t="inlineStr"/>
      <c r="N16" s="4" t="inlineStr">
        <is>
          <t>Nhóm kiểm thử</t>
        </is>
      </c>
      <c r="O16" s="26" t="inlineStr">
        <is>
          <t>03/10/2026</t>
        </is>
      </c>
    </row>
    <row r="17">
      <c r="A17" s="26" t="n">
        <v>13</v>
      </c>
      <c r="B17" s="26" t="inlineStr">
        <is>
          <t>UC1.1-TC008</t>
        </is>
      </c>
      <c r="C17" s="4" t="inlineStr">
        <is>
          <t>LỄ TÂN</t>
        </is>
      </c>
      <c r="D17" s="4" t="inlineStr">
        <is>
          <t>UC1.1 Tạo mới hồ sơ khách hàng</t>
        </is>
      </c>
      <c r="E17" s="4" t="inlineStr">
        <is>
          <t>SĐT trùng với khách hàng đã có</t>
        </is>
      </c>
      <c r="F17" s="4" t="inlineStr">
        <is>
          <t>Ứng dụng đang chạy; dữ liệu mẫu đã nạp</t>
        </is>
      </c>
      <c r="G17" s="4" t="inlineStr">
        <is>
          <t>1. Chọn "Thêm khách hàng"  → Form hiển thị
2. Nhập Họ tên, Email mới, Địa chỉ
3. Nhập SĐT đã tồn tại (của Nguyễn Huy)
4. Nhấn "Lưu khách hàng"  → Hiển thị thông báo lỗi</t>
        </is>
      </c>
      <c r="H17" s="4" t="inlineStr">
        <is>
          <t>Khách Trùng SĐT / trungsdt@test.vn / Hà Nội
0911000001</t>
        </is>
      </c>
      <c r="I17" s="4" t="inlineStr">
        <is>
          <t>Hiển thị lỗi số điện thoại đã tồn tại, không tạo khách hàng (quy tắc nghiệp vụ UC1.1)</t>
        </is>
      </c>
      <c r="J17" s="4" t="inlineStr">
        <is>
          <t>Hệ thống vẫn lưu khách hàng có SĐT trùng 0911000001</t>
        </is>
      </c>
      <c r="K17" s="26" t="inlineStr">
        <is>
          <t>Fail</t>
        </is>
      </c>
      <c r="L17" s="26" t="inlineStr">
        <is>
          <t>Trung bình</t>
        </is>
      </c>
      <c r="M17" s="26" t="inlineStr">
        <is>
          <t>BUG-007</t>
        </is>
      </c>
      <c r="N17" s="4" t="inlineStr">
        <is>
          <t>Nhóm kiểm thử</t>
        </is>
      </c>
      <c r="O17" s="26" t="inlineStr">
        <is>
          <t>03/10/2026</t>
        </is>
      </c>
    </row>
    <row r="18">
      <c r="A18" s="26" t="n">
        <v>14</v>
      </c>
      <c r="B18" s="26" t="inlineStr">
        <is>
          <t>UC1.1-TC009</t>
        </is>
      </c>
      <c r="C18" s="4" t="inlineStr">
        <is>
          <t>LỄ TÂN</t>
        </is>
      </c>
      <c r="D18" s="4" t="inlineStr">
        <is>
          <t>UC1.1 Tạo mới hồ sơ khách hàng</t>
        </is>
      </c>
      <c r="E18" s="4" t="inlineStr">
        <is>
          <t>Email trùng với khách hàng đã có</t>
        </is>
      </c>
      <c r="F18" s="4" t="inlineStr">
        <is>
          <t>Ứng dụng đang chạy; dữ liệu mẫu đã nạp</t>
        </is>
      </c>
      <c r="G18" s="4" t="inlineStr">
        <is>
          <t>1. Chọn "Thêm khách hàng"  → Form hiển thị
2. Nhập Họ tên, SĐT mới, Địa chỉ
3. Nhập Email đã tồn tại
4. Nhấn "Lưu khách hàng"  → Hiển thị thông báo lỗi</t>
        </is>
      </c>
      <c r="H18" s="4" t="inlineStr">
        <is>
          <t>Khách Trùng Email / 0977000999 / Hà Nội
owner.huy@example.com</t>
        </is>
      </c>
      <c r="I18" s="4" t="inlineStr">
        <is>
          <t>Hiển thị lỗi email đã tồn tại, không tạo khách hàng</t>
        </is>
      </c>
      <c r="J18" s="4" t="inlineStr">
        <is>
          <t>Hệ thống vẫn lưu khách hàng có email trùng</t>
        </is>
      </c>
      <c r="K18" s="26" t="inlineStr">
        <is>
          <t>Fail</t>
        </is>
      </c>
      <c r="L18" s="26" t="inlineStr">
        <is>
          <t>Trung bình</t>
        </is>
      </c>
      <c r="M18" s="26" t="inlineStr">
        <is>
          <t>BUG-008</t>
        </is>
      </c>
      <c r="N18" s="4" t="inlineStr">
        <is>
          <t>Nhóm kiểm thử</t>
        </is>
      </c>
      <c r="O18" s="26" t="inlineStr">
        <is>
          <t>03/10/2026</t>
        </is>
      </c>
    </row>
    <row r="19">
      <c r="A19" s="26" t="n">
        <v>15</v>
      </c>
      <c r="B19" s="26" t="inlineStr">
        <is>
          <t>UC1.1-TC010</t>
        </is>
      </c>
      <c r="C19" s="4" t="inlineStr">
        <is>
          <t>LỄ TÂN</t>
        </is>
      </c>
      <c r="D19" s="4" t="inlineStr">
        <is>
          <t>UC1.1 Tạo mới hồ sơ khách hàng</t>
        </is>
      </c>
      <c r="E19" s="4" t="inlineStr">
        <is>
          <t>Bỏ trống Địa chỉ (trường không bắt buộc), các trường khác hợp lệ</t>
        </is>
      </c>
      <c r="F19" s="4" t="inlineStr">
        <is>
          <t>Ứng dụng đang chạy; dữ liệu mẫu đã nạp</t>
        </is>
      </c>
      <c r="G19" s="4" t="inlineStr">
        <is>
          <t>1. Chọn "Thêm khách hàng"  → Form hiển thị
2. Nhập Họ tên, Email, SĐT hợp lệ
3. Bỏ trống Địa chỉ
4. Nhấn "Lưu khách hàng"  → Hiển thị thông báo thành công</t>
        </is>
      </c>
      <c r="H19" s="4" t="inlineStr">
        <is>
          <t>Khách Không Địa Chỉ / kdc106379@test.vn / 0910637922</t>
        </is>
      </c>
      <c r="I19" s="4" t="inlineStr">
        <is>
          <t>Hiển thị "Thêm khách hàng thành công" (Địa chỉ không có dấu * nên không bắt buộc)</t>
        </is>
      </c>
      <c r="J19" s="4" t="inlineStr">
        <is>
          <t>Hiển thị "Không thể thêm khách hàng" kèm lỗi JSON: "String must contain at least 1 character(s)", path ["address"]</t>
        </is>
      </c>
      <c r="K19" s="26" t="inlineStr">
        <is>
          <t>Fail</t>
        </is>
      </c>
      <c r="L19" s="26" t="inlineStr">
        <is>
          <t>Cao</t>
        </is>
      </c>
      <c r="M19" s="26" t="inlineStr">
        <is>
          <t>BUG-002</t>
        </is>
      </c>
      <c r="N19" s="4" t="inlineStr">
        <is>
          <t>Nhóm kiểm thử</t>
        </is>
      </c>
      <c r="O19" s="26" t="inlineStr">
        <is>
          <t>03/10/2026</t>
        </is>
      </c>
    </row>
    <row r="20">
      <c r="A20" s="26" t="n">
        <v>16</v>
      </c>
      <c r="B20" s="26" t="inlineStr">
        <is>
          <t>UC1.3-TC001</t>
        </is>
      </c>
      <c r="C20" s="4" t="inlineStr">
        <is>
          <t>LỄ TÂN</t>
        </is>
      </c>
      <c r="D20" s="4" t="inlineStr">
        <is>
          <t>UC1.3 Chỉnh sửa hồ sơ khách hàng</t>
        </is>
      </c>
      <c r="E20" s="4" t="inlineStr">
        <is>
          <t>Cập nhật địa chỉ khách hàng hợp lệ</t>
        </is>
      </c>
      <c r="F20" s="4" t="inlineStr">
        <is>
          <t>Ứng dụng đang chạy; dữ liệu mẫu đã nạp</t>
        </is>
      </c>
      <c r="G20" s="4" t="inlineStr">
        <is>
          <t>1. Chọn "Chỉnh sửa" tại khách hàng vừa tạo  → Form cập nhật hiển thị dữ liệu cũ
2. Sửa Địa chỉ
3. Nhấn "Lưu"  → Hiển thị thông báo thành công</t>
        </is>
      </c>
      <c r="H20" s="4" t="inlineStr">
        <is>
          <t>Cầu Giấy, Hà Nội</t>
        </is>
      </c>
      <c r="I20" s="4" t="inlineStr">
        <is>
          <t>Hiển thị "Cập nhật khách hàng thành công", địa chỉ mới hiển thị trong danh sách</t>
        </is>
      </c>
      <c r="J20" s="4" t="inlineStr">
        <is>
          <t>Cập nhật thành công, địa chỉ mới hiển thị</t>
        </is>
      </c>
      <c r="K20" s="26" t="inlineStr">
        <is>
          <t>Pass</t>
        </is>
      </c>
      <c r="L20" s="26" t="inlineStr"/>
      <c r="M20" s="26" t="inlineStr"/>
      <c r="N20" s="4" t="inlineStr">
        <is>
          <t>Nhóm kiểm thử</t>
        </is>
      </c>
      <c r="O20" s="26" t="inlineStr">
        <is>
          <t>03/10/2026</t>
        </is>
      </c>
    </row>
    <row r="21">
      <c r="A21" s="26" t="n">
        <v>17</v>
      </c>
      <c r="B21" s="26" t="inlineStr">
        <is>
          <t>UC1.3-TC002</t>
        </is>
      </c>
      <c r="C21" s="4" t="inlineStr">
        <is>
          <t>LỄ TÂN</t>
        </is>
      </c>
      <c r="D21" s="4" t="inlineStr">
        <is>
          <t>UC1.3 Chỉnh sửa hồ sơ khách hàng</t>
        </is>
      </c>
      <c r="E21" s="4" t="inlineStr">
        <is>
          <t>Cập nhật SĐT không hợp lệ</t>
        </is>
      </c>
      <c r="F21" s="4" t="inlineStr">
        <is>
          <t>Ứng dụng đang chạy; dữ liệu mẫu đã nạp</t>
        </is>
      </c>
      <c r="G21" s="4" t="inlineStr">
        <is>
          <t>1. Chọn "Chỉnh sửa" tại khách hàng  → Form cập nhật hiển thị
2. Sửa SĐT thành 3 chữ số
3. Nhấn "Lưu"  → Hiển thị thông báo lỗi</t>
        </is>
      </c>
      <c r="H21" s="4" t="inlineStr">
        <is>
          <t>123</t>
        </is>
      </c>
      <c r="I21" s="4" t="inlineStr">
        <is>
          <t>Hiển thị lỗi "Số điện thoại phải gồm đúng 10 chữ số", không lưu</t>
        </is>
      </c>
      <c r="J21" s="4" t="inlineStr">
        <is>
          <t>Hiển thị lỗi SĐT, không lưu</t>
        </is>
      </c>
      <c r="K21" s="26" t="inlineStr">
        <is>
          <t>Pass</t>
        </is>
      </c>
      <c r="L21" s="26" t="inlineStr"/>
      <c r="M21" s="26" t="inlineStr"/>
      <c r="N21" s="4" t="inlineStr">
        <is>
          <t>Nhóm kiểm thử</t>
        </is>
      </c>
      <c r="O21" s="26" t="inlineStr">
        <is>
          <t>03/10/2026</t>
        </is>
      </c>
    </row>
    <row r="22">
      <c r="A22" s="26" t="n">
        <v>18</v>
      </c>
      <c r="B22" s="26" t="inlineStr">
        <is>
          <t>UC1.4-TC001</t>
        </is>
      </c>
      <c r="C22" s="4" t="inlineStr">
        <is>
          <t>LỄ TÂN</t>
        </is>
      </c>
      <c r="D22" s="4" t="inlineStr">
        <is>
          <t>UC1.4 Tạm khóa / Duyệt hồ sơ khách hàng</t>
        </is>
      </c>
      <c r="E22" s="4" t="inlineStr">
        <is>
          <t>Tạm khóa khách hàng đang hoạt động</t>
        </is>
      </c>
      <c r="F22" s="4" t="inlineStr">
        <is>
          <t>Ứng dụng đang chạy; dữ liệu mẫu đã nạp</t>
        </is>
      </c>
      <c r="G22" s="4" t="inlineStr">
        <is>
          <t>1. Truy cập Quản lý khách hàng  → Danh sách hiển thị
2. Nhấn "Tạm khóa" tại khách hàng vừa tạo  → Trạng thái chuyển "Chờ duyệt"</t>
        </is>
      </c>
      <c r="H22" s="4" t="inlineStr">
        <is>
          <t>Khách Kiểm Thử 106379</t>
        </is>
      </c>
      <c r="I22" s="4" t="inlineStr">
        <is>
          <t>Hiển thị "Đã cập nhật trạng thái khách hàng", trạng thái đổi thành "Chờ duyệt"</t>
        </is>
      </c>
      <c r="J22" s="4" t="inlineStr">
        <is>
          <t>Trạng thái chuyển sang "Chờ duyệt"</t>
        </is>
      </c>
      <c r="K22" s="26" t="inlineStr">
        <is>
          <t>Pass</t>
        </is>
      </c>
      <c r="L22" s="26" t="inlineStr"/>
      <c r="M22" s="26" t="inlineStr"/>
      <c r="N22" s="4" t="inlineStr">
        <is>
          <t>Nhóm kiểm thử</t>
        </is>
      </c>
      <c r="O22" s="26" t="inlineStr">
        <is>
          <t>03/10/2026</t>
        </is>
      </c>
    </row>
    <row r="23">
      <c r="A23" s="26" t="n">
        <v>19</v>
      </c>
      <c r="B23" s="26" t="inlineStr">
        <is>
          <t>UC1.4-TC002</t>
        </is>
      </c>
      <c r="C23" s="4" t="inlineStr">
        <is>
          <t>LỄ TÂN</t>
        </is>
      </c>
      <c r="D23" s="4" t="inlineStr">
        <is>
          <t>UC1.4 Tạm khóa / Duyệt hồ sơ khách hàng</t>
        </is>
      </c>
      <c r="E23" s="4" t="inlineStr">
        <is>
          <t>Duyệt lại khách hàng đang bị khóa</t>
        </is>
      </c>
      <c r="F23" s="4" t="inlineStr">
        <is>
          <t>Ứng dụng đang chạy; dữ liệu mẫu đã nạp</t>
        </is>
      </c>
      <c r="G23" s="4" t="inlineStr">
        <is>
          <t>1. Nhấn "Duyệt" tại khách hàng đang "Chờ duyệt"  → Trạng thái chuyển "Đang hoạt động"</t>
        </is>
      </c>
      <c r="H23" s="4" t="inlineStr">
        <is>
          <t>Khách Kiểm Thử 106379</t>
        </is>
      </c>
      <c r="I23" s="4" t="inlineStr">
        <is>
          <t>Hiển thị "Đã duyệt khách hàng", trạng thái đổi thành "Đang hoạt động"</t>
        </is>
      </c>
      <c r="J23" s="4" t="inlineStr">
        <is>
          <t>Khách hàng được duyệt</t>
        </is>
      </c>
      <c r="K23" s="26" t="inlineStr">
        <is>
          <t>Pass</t>
        </is>
      </c>
      <c r="L23" s="26" t="inlineStr"/>
      <c r="M23" s="26" t="inlineStr"/>
      <c r="N23" s="4" t="inlineStr">
        <is>
          <t>Nhóm kiểm thử</t>
        </is>
      </c>
      <c r="O23" s="26" t="inlineStr">
        <is>
          <t>03/10/2026</t>
        </is>
      </c>
    </row>
    <row r="24">
      <c r="A24" s="26" t="n">
        <v>20</v>
      </c>
      <c r="B24" s="26" t="inlineStr">
        <is>
          <t>UC1.5-TC001</t>
        </is>
      </c>
      <c r="C24" s="4" t="inlineStr">
        <is>
          <t>LỄ TÂN</t>
        </is>
      </c>
      <c r="D24" s="4" t="inlineStr">
        <is>
          <t>UC1.5 Tìm kiếm khách hàng / thú cưng</t>
        </is>
      </c>
      <c r="E24" s="4" t="inlineStr">
        <is>
          <t>Tìm khách hàng theo tên</t>
        </is>
      </c>
      <c r="F24" s="4" t="inlineStr">
        <is>
          <t>Ứng dụng đang chạy; dữ liệu mẫu đã nạp</t>
        </is>
      </c>
      <c r="G24" s="4" t="inlineStr">
        <is>
          <t>1. Nhập tên vào ô tìm kiếm  → Danh sách được lọc</t>
        </is>
      </c>
      <c r="H24" s="4" t="inlineStr">
        <is>
          <t>Trần Lan</t>
        </is>
      </c>
      <c r="I24" s="4" t="inlineStr">
        <is>
          <t>Chỉ hiển thị khách hàng "Trần Lan"</t>
        </is>
      </c>
      <c r="J24" s="4" t="inlineStr">
        <is>
          <t>Ô tìm kiếm mất focus sau ký tự đầu – chỉ nhận "T", danh sách lọc sai</t>
        </is>
      </c>
      <c r="K24" s="26" t="inlineStr">
        <is>
          <t>Fail</t>
        </is>
      </c>
      <c r="L24" s="26" t="inlineStr">
        <is>
          <t>Cao</t>
        </is>
      </c>
      <c r="M24" s="26" t="inlineStr">
        <is>
          <t>BUG-003</t>
        </is>
      </c>
      <c r="N24" s="4" t="inlineStr">
        <is>
          <t>Nhóm kiểm thử</t>
        </is>
      </c>
      <c r="O24" s="26" t="inlineStr">
        <is>
          <t>03/10/2026</t>
        </is>
      </c>
    </row>
    <row r="25">
      <c r="A25" s="26" t="n">
        <v>21</v>
      </c>
      <c r="B25" s="26" t="inlineStr">
        <is>
          <t>UC1.5-TC002</t>
        </is>
      </c>
      <c r="C25" s="4" t="inlineStr">
        <is>
          <t>LỄ TÂN</t>
        </is>
      </c>
      <c r="D25" s="4" t="inlineStr">
        <is>
          <t>UC1.5 Tìm kiếm khách hàng / thú cưng</t>
        </is>
      </c>
      <c r="E25" s="4" t="inlineStr">
        <is>
          <t>Tìm khách hàng theo số điện thoại</t>
        </is>
      </c>
      <c r="F25" s="4" t="inlineStr">
        <is>
          <t>Ứng dụng đang chạy; dữ liệu mẫu đã nạp</t>
        </is>
      </c>
      <c r="G25" s="4" t="inlineStr">
        <is>
          <t>1. Nhập SĐT vào ô tìm kiếm  → Danh sách được lọc</t>
        </is>
      </c>
      <c r="H25" s="4" t="inlineStr">
        <is>
          <t>0911000003</t>
        </is>
      </c>
      <c r="I25" s="4" t="inlineStr">
        <is>
          <t>Hiển thị khách hàng "Phạm Tuấn"</t>
        </is>
      </c>
      <c r="J25" s="4" t="inlineStr">
        <is>
          <t>Ô tìm kiếm mất focus sau ký tự đầu – chỉ nhận "0", danh sách lọc sai</t>
        </is>
      </c>
      <c r="K25" s="26" t="inlineStr">
        <is>
          <t>Fail</t>
        </is>
      </c>
      <c r="L25" s="26" t="inlineStr">
        <is>
          <t>Cao</t>
        </is>
      </c>
      <c r="M25" s="26" t="inlineStr">
        <is>
          <t>BUG-004</t>
        </is>
      </c>
      <c r="N25" s="4" t="inlineStr">
        <is>
          <t>Nhóm kiểm thử</t>
        </is>
      </c>
      <c r="O25" s="26" t="inlineStr">
        <is>
          <t>03/10/2026</t>
        </is>
      </c>
    </row>
    <row r="26">
      <c r="A26" s="26" t="n">
        <v>22</v>
      </c>
      <c r="B26" s="26" t="inlineStr">
        <is>
          <t>UC1.5-TC003</t>
        </is>
      </c>
      <c r="C26" s="4" t="inlineStr">
        <is>
          <t>LỄ TÂN</t>
        </is>
      </c>
      <c r="D26" s="4" t="inlineStr">
        <is>
          <t>UC1.5 Tìm kiếm khách hàng / thú cưng</t>
        </is>
      </c>
      <c r="E26" s="4" t="inlineStr">
        <is>
          <t>Tìm với từ khóa không tồn tại</t>
        </is>
      </c>
      <c r="F26" s="4" t="inlineStr">
        <is>
          <t>Ứng dụng đang chạy; dữ liệu mẫu đã nạp</t>
        </is>
      </c>
      <c r="G26" s="4" t="inlineStr">
        <is>
          <t>1. Nhập từ khóa không có trong dữ liệu  → Danh sách rỗng</t>
        </is>
      </c>
      <c r="H26" s="4" t="inlineStr">
        <is>
          <t>zzzkhongco</t>
        </is>
      </c>
      <c r="I26" s="4" t="inlineStr">
        <is>
          <t>Hiển thị "Không có khách hàng phù hợp."</t>
        </is>
      </c>
      <c r="J26" s="4" t="inlineStr">
        <is>
          <t>Hiển thị "Không có khách hàng phù hợp." (ô tìm kiếm chỉ nhận "z")</t>
        </is>
      </c>
      <c r="K26" s="26" t="inlineStr">
        <is>
          <t>Pass</t>
        </is>
      </c>
      <c r="L26" s="26" t="inlineStr"/>
      <c r="M26" s="26" t="inlineStr"/>
      <c r="N26" s="4" t="inlineStr">
        <is>
          <t>Nhóm kiểm thử</t>
        </is>
      </c>
      <c r="O26" s="26" t="inlineStr">
        <is>
          <t>03/10/2026</t>
        </is>
      </c>
    </row>
    <row r="27">
      <c r="A27" s="26" t="n">
        <v>23</v>
      </c>
      <c r="B27" s="26" t="inlineStr">
        <is>
          <t>UC1.5-TC004</t>
        </is>
      </c>
      <c r="C27" s="4" t="inlineStr">
        <is>
          <t>LỄ TÂN</t>
        </is>
      </c>
      <c r="D27" s="4" t="inlineStr">
        <is>
          <t>UC1.5 Tìm kiếm khách hàng / thú cưng</t>
        </is>
      </c>
      <c r="E27" s="4" t="inlineStr">
        <is>
          <t>Tìm thú cưng theo tên chủ nuôi</t>
        </is>
      </c>
      <c r="F27" s="4" t="inlineStr">
        <is>
          <t>Ứng dụng đang chạy; dữ liệu mẫu đã nạp</t>
        </is>
      </c>
      <c r="G27" s="4" t="inlineStr">
        <is>
          <t>1. Nhập tên khách hàng vào ô "Tìm thú cưng theo tên khách hàng"  → Hiển thị thú cưng của khách</t>
        </is>
      </c>
      <c r="H27" s="4" t="inlineStr">
        <is>
          <t>Phạm Tuấn</t>
        </is>
      </c>
      <c r="I27" s="4" t="inlineStr">
        <is>
          <t>Hiển thị đúng 2 thú cưng của khách hàng Phạm Tuấn (Bun, Nau)</t>
        </is>
      </c>
      <c r="J27" s="4" t="inlineStr">
        <is>
          <t>Hiển thị Nau, Bun</t>
        </is>
      </c>
      <c r="K27" s="26" t="inlineStr">
        <is>
          <t>Pass</t>
        </is>
      </c>
      <c r="L27" s="26" t="inlineStr"/>
      <c r="M27" s="26" t="inlineStr"/>
      <c r="N27" s="4" t="inlineStr">
        <is>
          <t>Nhóm kiểm thử</t>
        </is>
      </c>
      <c r="O27" s="26" t="inlineStr">
        <is>
          <t>03/10/2026</t>
        </is>
      </c>
    </row>
    <row r="28">
      <c r="A28" s="26" t="n">
        <v>24</v>
      </c>
      <c r="B28" s="26" t="inlineStr">
        <is>
          <t>UC1.5-TC005</t>
        </is>
      </c>
      <c r="C28" s="4" t="inlineStr">
        <is>
          <t>LỄ TÂN</t>
        </is>
      </c>
      <c r="D28" s="4" t="inlineStr">
        <is>
          <t>UC1.5 Tìm kiếm khách hàng / thú cưng</t>
        </is>
      </c>
      <c r="E28" s="4" t="inlineStr">
        <is>
          <t>Lọc khách hàng theo trạng thái "Chờ duyệt"</t>
        </is>
      </c>
      <c r="F28" s="4" t="inlineStr">
        <is>
          <t>Ứng dụng đang chạy; dữ liệu mẫu đã nạp</t>
        </is>
      </c>
      <c r="G28" s="4" t="inlineStr">
        <is>
          <t>1. Truy cập Quản lý khách hàng  → Danh sách 30 khách hàng mẫu hiển thị
2. Chọn bộ lọc trạng thái "Chờ duyệt"  → Danh sách được lọc</t>
        </is>
      </c>
      <c r="H28" s="4" t="inlineStr">
        <is>
          <t>Chờ duyệt</t>
        </is>
      </c>
      <c r="I28" s="4" t="inlineStr">
        <is>
          <t>Hiển thị đúng 3 khách hàng chờ duyệt: Huỳnh Hoàng Nam, Ngô Mỹ Duyên, Huỳnh Bích Ngọc</t>
        </is>
      </c>
      <c r="J28" s="4" t="inlineStr">
        <is>
          <t>Hiển thị đúng 3 khách hàng chờ duyệt</t>
        </is>
      </c>
      <c r="K28" s="26" t="inlineStr">
        <is>
          <t>Pass</t>
        </is>
      </c>
      <c r="L28" s="26" t="inlineStr"/>
      <c r="M28" s="26" t="inlineStr"/>
      <c r="N28" s="4" t="inlineStr">
        <is>
          <t>Nhóm kiểm thử</t>
        </is>
      </c>
      <c r="O28" s="26" t="inlineStr">
        <is>
          <t>03/10/2026</t>
        </is>
      </c>
    </row>
    <row r="29">
      <c r="A29" s="26" t="n">
        <v>25</v>
      </c>
      <c r="B29" s="26" t="inlineStr">
        <is>
          <t>UC1.5-TC006</t>
        </is>
      </c>
      <c r="C29" s="4" t="inlineStr">
        <is>
          <t>LỄ TÂN</t>
        </is>
      </c>
      <c r="D29" s="4" t="inlineStr">
        <is>
          <t>UC1.5 Tìm kiếm khách hàng / thú cưng</t>
        </is>
      </c>
      <c r="E29" s="4" t="inlineStr">
        <is>
          <t>Lọc khách hàng theo trạng thái "Đang hoạt động"</t>
        </is>
      </c>
      <c r="F29" s="4" t="inlineStr">
        <is>
          <t>Ứng dụng đang chạy; dữ liệu mẫu đã nạp</t>
        </is>
      </c>
      <c r="G29" s="4" t="inlineStr">
        <is>
          <t>1. Truy cập Quản lý khách hàng  → Danh sách hiển thị
2. Chọn bộ lọc trạng thái "Đang hoạt động"  → Danh sách được lọc</t>
        </is>
      </c>
      <c r="H29" s="4" t="inlineStr">
        <is>
          <t>Đang hoạt động</t>
        </is>
      </c>
      <c r="I29" s="4" t="inlineStr">
        <is>
          <t>Hiển thị toàn bộ khách hàng đang hoạt động (tổng số khách hàng trừ 3 khách chờ duyệt), không có khách chờ duyệt</t>
        </is>
      </c>
      <c r="J29" s="4" t="inlineStr">
        <is>
          <t>Hiển thị 30 khách hàng đang hoạt động</t>
        </is>
      </c>
      <c r="K29" s="26" t="inlineStr">
        <is>
          <t>Pass</t>
        </is>
      </c>
      <c r="L29" s="26" t="inlineStr"/>
      <c r="M29" s="26" t="inlineStr"/>
      <c r="N29" s="4" t="inlineStr">
        <is>
          <t>Nhóm kiểm thử</t>
        </is>
      </c>
      <c r="O29" s="26" t="inlineStr">
        <is>
          <t>03/10/2026</t>
        </is>
      </c>
    </row>
    <row r="30">
      <c r="A30" s="26" t="n">
        <v>26</v>
      </c>
      <c r="B30" s="26" t="inlineStr">
        <is>
          <t>UC1.2-TC001</t>
        </is>
      </c>
      <c r="C30" s="4" t="inlineStr">
        <is>
          <t>LỄ TÂN</t>
        </is>
      </c>
      <c r="D30" s="4" t="inlineStr">
        <is>
          <t>UC1.2 Tạo mới hồ sơ thú cưng</t>
        </is>
      </c>
      <c r="E30" s="4" t="inlineStr">
        <is>
          <t>Bỏ trống Tên và Loài thú cưng</t>
        </is>
      </c>
      <c r="F30" s="4" t="inlineStr">
        <is>
          <t>Ứng dụng đang chạy; dữ liệu mẫu đã nạp</t>
        </is>
      </c>
      <c r="G30" s="4" t="inlineStr">
        <is>
          <t>1. Nhấn "Thêm thú cưng" tại khách hàng Nguyễn Huy  → Form thêm thú cưng hiển thị
2. Bỏ trống Tên, Loài
3. Nhấn "Lưu thú cưng"  → Hiển thị thông báo lỗi</t>
        </is>
      </c>
      <c r="H30" s="4" t="inlineStr"/>
      <c r="I30" s="4" t="inlineStr">
        <is>
          <t>Hiển thị lỗi "Tên thú cưng là bắt buộc", "Loài là bắt buộc"</t>
        </is>
      </c>
      <c r="J30" s="4" t="inlineStr">
        <is>
          <t>Hiển thị 2 thông báo lỗi</t>
        </is>
      </c>
      <c r="K30" s="26" t="inlineStr">
        <is>
          <t>Pass</t>
        </is>
      </c>
      <c r="L30" s="26" t="inlineStr"/>
      <c r="M30" s="26" t="inlineStr"/>
      <c r="N30" s="4" t="inlineStr">
        <is>
          <t>Nhóm kiểm thử</t>
        </is>
      </c>
      <c r="O30" s="26" t="inlineStr">
        <is>
          <t>03/10/2026</t>
        </is>
      </c>
    </row>
    <row r="31">
      <c r="A31" s="26" t="n">
        <v>27</v>
      </c>
      <c r="B31" s="26" t="inlineStr">
        <is>
          <t>UC1.2-TC002</t>
        </is>
      </c>
      <c r="C31" s="4" t="inlineStr">
        <is>
          <t>LỄ TÂN</t>
        </is>
      </c>
      <c r="D31" s="4" t="inlineStr">
        <is>
          <t>UC1.2 Tạo mới hồ sơ thú cưng</t>
        </is>
      </c>
      <c r="E31" s="4" t="inlineStr">
        <is>
          <t>Nhập Tên, bỏ trống Loài</t>
        </is>
      </c>
      <c r="F31" s="4" t="inlineStr">
        <is>
          <t>Ứng dụng đang chạy; dữ liệu mẫu đã nạp</t>
        </is>
      </c>
      <c r="G31" s="4" t="inlineStr">
        <is>
          <t>1. Nhấn "Thêm thú cưng"  → Form hiển thị
2. Nhập Tên thú cưng
3. Bỏ trống Loài, nhấn "Lưu thú cưng"  → Hiển thị thông báo lỗi</t>
        </is>
      </c>
      <c r="H31" s="4" t="inlineStr">
        <is>
          <t>Mướp</t>
        </is>
      </c>
      <c r="I31" s="4" t="inlineStr">
        <is>
          <t>Hiển thị lỗi "Loài là bắt buộc"</t>
        </is>
      </c>
      <c r="J31" s="4" t="inlineStr">
        <is>
          <t>Hiển thị lỗi Loài</t>
        </is>
      </c>
      <c r="K31" s="26" t="inlineStr">
        <is>
          <t>Pass</t>
        </is>
      </c>
      <c r="L31" s="26" t="inlineStr"/>
      <c r="M31" s="26" t="inlineStr"/>
      <c r="N31" s="4" t="inlineStr">
        <is>
          <t>Nhóm kiểm thử</t>
        </is>
      </c>
      <c r="O31" s="26" t="inlineStr">
        <is>
          <t>03/10/2026</t>
        </is>
      </c>
    </row>
    <row r="32">
      <c r="A32" s="26" t="n">
        <v>28</v>
      </c>
      <c r="B32" s="26" t="inlineStr">
        <is>
          <t>UC1.2-TC003</t>
        </is>
      </c>
      <c r="C32" s="4" t="inlineStr">
        <is>
          <t>LỄ TÂN</t>
        </is>
      </c>
      <c r="D32" s="4" t="inlineStr">
        <is>
          <t>UC1.2 Tạo mới hồ sơ thú cưng</t>
        </is>
      </c>
      <c r="E32" s="4" t="inlineStr">
        <is>
          <t>Thông tin thú cưng hợp lệ</t>
        </is>
      </c>
      <c r="F32" s="4" t="inlineStr">
        <is>
          <t>Ứng dụng đang chạy; dữ liệu mẫu đã nạp</t>
        </is>
      </c>
      <c r="G32" s="4" t="inlineStr">
        <is>
          <t>1. Nhấn "Thêm thú cưng" tại Nguyễn Huy  → Form hiển thị, khách hàng tự điền
2. Nhập Tên
3. Chọn Loài
4. Nhập Tuổi, Cân nặng, Microchip
5. Nhấn "Lưu thú cưng"  → Hiển thị thông báo thành công</t>
        </is>
      </c>
      <c r="H32" s="4" t="inlineStr">
        <is>
          <t>Bông 106379
Mèo
2 / 3.5 / MC-106379</t>
        </is>
      </c>
      <c r="I32" s="4" t="inlineStr">
        <is>
          <t>Hiển thị "Thêm thú cưng thành công", số thú cưng của khách hàng tăng 1</t>
        </is>
      </c>
      <c r="J32" s="4" t="inlineStr">
        <is>
          <t>Thêm thú cưng thành công</t>
        </is>
      </c>
      <c r="K32" s="26" t="inlineStr">
        <is>
          <t>Pass</t>
        </is>
      </c>
      <c r="L32" s="26" t="inlineStr"/>
      <c r="M32" s="26" t="inlineStr"/>
      <c r="N32" s="4" t="inlineStr">
        <is>
          <t>Nhóm kiểm thử</t>
        </is>
      </c>
      <c r="O32" s="26" t="inlineStr">
        <is>
          <t>03/10/2026</t>
        </is>
      </c>
    </row>
    <row r="33">
      <c r="A33" s="26" t="n">
        <v>29</v>
      </c>
      <c r="B33" s="26" t="inlineStr">
        <is>
          <t>UC1.2-TC004</t>
        </is>
      </c>
      <c r="C33" s="4" t="inlineStr">
        <is>
          <t>LỄ TÂN</t>
        </is>
      </c>
      <c r="D33" s="4" t="inlineStr">
        <is>
          <t>UC1.2 Tạo mới hồ sơ thú cưng</t>
        </is>
      </c>
      <c r="E33" s="4" t="inlineStr">
        <is>
          <t>Mã microchip trùng với thú cưng đã có</t>
        </is>
      </c>
      <c r="F33" s="4" t="inlineStr">
        <is>
          <t>Ứng dụng đang chạy; dữ liệu mẫu đã nạp</t>
        </is>
      </c>
      <c r="G33" s="4" t="inlineStr">
        <is>
          <t>1. Nhấn "Thêm thú cưng"  → Form hiển thị
2. Nhập Tên, chọn Loài
3. Nhập microchip đã dùng ở TC003
4. Nhấn "Lưu thú cưng"  → Hiển thị thông báo lỗi</t>
        </is>
      </c>
      <c r="H33" s="4" t="inlineStr">
        <is>
          <t>Mực / Chó
MC-106379</t>
        </is>
      </c>
      <c r="I33" s="4" t="inlineStr">
        <is>
          <t>Hiển thị "Microchip đã tồn tại, vui lòng kiểm tra lại." (luồng thay thế UC1.2)</t>
        </is>
      </c>
      <c r="J33" s="4" t="inlineStr">
        <is>
          <t>Hệ thống vẫn lưu thú cưng có microchip trùng</t>
        </is>
      </c>
      <c r="K33" s="26" t="inlineStr">
        <is>
          <t>Fail</t>
        </is>
      </c>
      <c r="L33" s="26" t="inlineStr">
        <is>
          <t>Trung bình</t>
        </is>
      </c>
      <c r="M33" s="26" t="inlineStr">
        <is>
          <t>BUG-009</t>
        </is>
      </c>
      <c r="N33" s="4" t="inlineStr">
        <is>
          <t>Nhóm kiểm thử</t>
        </is>
      </c>
      <c r="O33" s="26" t="inlineStr">
        <is>
          <t>03/10/2026</t>
        </is>
      </c>
    </row>
    <row r="34">
      <c r="A34" s="26" t="n">
        <v>30</v>
      </c>
      <c r="B34" s="26" t="inlineStr">
        <is>
          <t>UC1.2-TC005</t>
        </is>
      </c>
      <c r="C34" s="4" t="inlineStr">
        <is>
          <t>LỄ TÂN</t>
        </is>
      </c>
      <c r="D34" s="4" t="inlineStr">
        <is>
          <t>UC1.2 Tạo mới hồ sơ thú cưng</t>
        </is>
      </c>
      <c r="E34" s="4" t="inlineStr">
        <is>
          <t>Kiểm thử giá trị biên: Tuổi âm</t>
        </is>
      </c>
      <c r="F34" s="4" t="inlineStr">
        <is>
          <t>Ứng dụng đang chạy; dữ liệu mẫu đã nạp</t>
        </is>
      </c>
      <c r="G34" s="4" t="inlineStr">
        <is>
          <t>1. Nhấn "Thêm thú cưng"  → Form hiển thị
2. Nhập Tên, chọn Loài
3. Nhập Tuổi âm
4. Nhấn "Lưu thú cưng"  → Hiển thị thông báo lỗi</t>
        </is>
      </c>
      <c r="H34" s="4" t="inlineStr">
        <is>
          <t>Na / Thỏ
-1</t>
        </is>
      </c>
      <c r="I34" s="4" t="inlineStr">
        <is>
          <t>Không lưu thú cưng, hiển thị thông báo lỗi</t>
        </is>
      </c>
      <c r="J34" s="4" t="inlineStr">
        <is>
          <t>Hiển thị "Không thể thêm thú cưng"</t>
        </is>
      </c>
      <c r="K34" s="26" t="inlineStr">
        <is>
          <t>Pass</t>
        </is>
      </c>
      <c r="L34" s="26" t="inlineStr"/>
      <c r="M34" s="26" t="inlineStr"/>
      <c r="N34" s="4" t="inlineStr">
        <is>
          <t>Nhóm kiểm thử</t>
        </is>
      </c>
      <c r="O34" s="26" t="inlineStr">
        <is>
          <t>03/10/2026</t>
        </is>
      </c>
    </row>
    <row r="35">
      <c r="A35" s="26" t="n">
        <v>31</v>
      </c>
      <c r="B35" s="26" t="inlineStr">
        <is>
          <t>UC2.1-TC001</t>
        </is>
      </c>
      <c r="C35" s="4" t="inlineStr">
        <is>
          <t>LỄ TÂN</t>
        </is>
      </c>
      <c r="D35" s="4" t="inlineStr">
        <is>
          <t>UC2.1 Đặt lịch khám</t>
        </is>
      </c>
      <c r="E35" s="4" t="inlineStr">
        <is>
          <t>Bỏ trống tất cả các trường và nhấn "Lưu"</t>
        </is>
      </c>
      <c r="F35" s="4" t="inlineStr">
        <is>
          <t>Ứng dụng đang chạy; dữ liệu mẫu đã nạp</t>
        </is>
      </c>
      <c r="G35" s="4" t="inlineStr">
        <is>
          <t>1. Chọn "Tạo lịch hẹn"  → Form tạo lịch hẹn hiển thị
2. Không chọn khách hàng, thú cưng, ngày, dịch vụ
3. Nhấn nút lưu  → Hiển thị thông báo lỗi</t>
        </is>
      </c>
      <c r="H35" s="4" t="inlineStr"/>
      <c r="I35" s="4" t="inlineStr">
        <is>
          <t>Hiển thị thông báo "Vui lòng chọn khách hàng", "Vui lòng chọn thú cưng"...</t>
        </is>
      </c>
      <c r="J35" s="4" t="inlineStr">
        <is>
          <t>Form không gửi nhưng không hiển thị thông báo lỗi nào cho người dùng</t>
        </is>
      </c>
      <c r="K35" s="26" t="inlineStr">
        <is>
          <t>Fail</t>
        </is>
      </c>
      <c r="L35" s="26" t="inlineStr">
        <is>
          <t>Thấp</t>
        </is>
      </c>
      <c r="M35" s="26" t="inlineStr">
        <is>
          <t>BUG-020</t>
        </is>
      </c>
      <c r="N35" s="4" t="inlineStr">
        <is>
          <t>Nhóm kiểm thử</t>
        </is>
      </c>
      <c r="O35" s="26" t="inlineStr">
        <is>
          <t>03/10/2026</t>
        </is>
      </c>
    </row>
    <row r="36">
      <c r="A36" s="26" t="n">
        <v>32</v>
      </c>
      <c r="B36" s="26" t="inlineStr">
        <is>
          <t>UC2.1-TC002</t>
        </is>
      </c>
      <c r="C36" s="4" t="inlineStr">
        <is>
          <t>LỄ TÂN</t>
        </is>
      </c>
      <c r="D36" s="4" t="inlineStr">
        <is>
          <t>UC2.1 Đặt lịch khám</t>
        </is>
      </c>
      <c r="E36" s="4" t="inlineStr">
        <is>
          <t>Đặt lịch hợp lệ</t>
        </is>
      </c>
      <c r="F36" s="4" t="inlineStr">
        <is>
          <t>Ứng dụng đang chạy; dữ liệu mẫu đã nạp</t>
        </is>
      </c>
      <c r="G36" s="4" t="inlineStr">
        <is>
          <t>1. Chọn "Tạo lịch hẹn"  → Form hiển thị
2. Chọn Khách hàng, Thú cưng
3. Chọn Bác sĩ
4. Chọn Ngày, Giờ khám
5. Chọn Dịch vụ
6. Nhấn nút lưu  → Hiển thị thông báo thành công</t>
        </is>
      </c>
      <c r="H36" s="4" t="inlineStr">
        <is>
          <t>Nguyễn Huy / Bông 106379
Bác sĩ đầu tiên trong danh sách
2026-10-04 15:00
Khám tổng quát</t>
        </is>
      </c>
      <c r="I36" s="4" t="inlineStr">
        <is>
          <t>Hiển thị "Đặt lịch thành công"</t>
        </is>
      </c>
      <c r="J36" s="4" t="inlineStr">
        <is>
          <t>Đặt lịch thành công</t>
        </is>
      </c>
      <c r="K36" s="26" t="inlineStr">
        <is>
          <t>Pass</t>
        </is>
      </c>
      <c r="L36" s="26" t="inlineStr"/>
      <c r="M36" s="26" t="inlineStr"/>
      <c r="N36" s="4" t="inlineStr">
        <is>
          <t>Nhóm kiểm thử</t>
        </is>
      </c>
      <c r="O36" s="26" t="inlineStr">
        <is>
          <t>03/10/2026</t>
        </is>
      </c>
    </row>
    <row r="37">
      <c r="A37" s="26" t="n">
        <v>33</v>
      </c>
      <c r="B37" s="26" t="inlineStr">
        <is>
          <t>UC2.1-TC003</t>
        </is>
      </c>
      <c r="C37" s="4" t="inlineStr">
        <is>
          <t>LỄ TÂN</t>
        </is>
      </c>
      <c r="D37" s="4" t="inlineStr">
        <is>
          <t>UC2.1 Đặt lịch khám</t>
        </is>
      </c>
      <c r="E37" s="4" t="inlineStr">
        <is>
          <t>Đặt lịch trùng khung giờ của bác sĩ</t>
        </is>
      </c>
      <c r="F37" s="4" t="inlineStr">
        <is>
          <t>Ứng dụng đang chạy; dữ liệu mẫu đã nạp</t>
        </is>
      </c>
      <c r="G37" s="4" t="inlineStr">
        <is>
          <t>1. Chọn "Tạo lịch hẹn"  → Form hiển thị
2. Chọn khách hàng, thú cưng khác
3. Chọn cùng Bác sĩ, Ngày, Giờ với TC002
4. Chọn dịch vụ, nhấn lưu  → Hiển thị thông báo lỗi</t>
        </is>
      </c>
      <c r="H37" s="4" t="inlineStr">
        <is>
          <t>Trần Lan
2026-10-04 15:00
Tiêm phòng</t>
        </is>
      </c>
      <c r="I37" s="4" t="inlineStr">
        <is>
          <t>Hiển thị "Không thể đặt lịch" – bác sĩ đã có lịch trong khung giờ</t>
        </is>
      </c>
      <c r="J37" s="4" t="inlineStr">
        <is>
          <t>Hiển thị "Không thể đặt lịch" (Veterinarian already has an appointment in this timeslot)</t>
        </is>
      </c>
      <c r="K37" s="26" t="inlineStr">
        <is>
          <t>Pass</t>
        </is>
      </c>
      <c r="L37" s="26" t="inlineStr"/>
      <c r="M37" s="26" t="inlineStr"/>
      <c r="N37" s="4" t="inlineStr">
        <is>
          <t>Nhóm kiểm thử</t>
        </is>
      </c>
      <c r="O37" s="26" t="inlineStr">
        <is>
          <t>03/10/2026</t>
        </is>
      </c>
    </row>
    <row r="38">
      <c r="A38" s="26" t="n">
        <v>34</v>
      </c>
      <c r="B38" s="26" t="inlineStr">
        <is>
          <t>UC2.1-TC004</t>
        </is>
      </c>
      <c r="C38" s="4" t="inlineStr">
        <is>
          <t>LỄ TÂN</t>
        </is>
      </c>
      <c r="D38" s="4" t="inlineStr">
        <is>
          <t>UC2.1 Đặt lịch khám</t>
        </is>
      </c>
      <c r="E38" s="4" t="inlineStr">
        <is>
          <t>Đặt lịch trùng khung giờ của thú cưng</t>
        </is>
      </c>
      <c r="F38" s="4" t="inlineStr">
        <is>
          <t>Ứng dụng đang chạy; dữ liệu mẫu đã nạp</t>
        </is>
      </c>
      <c r="G38" s="4" t="inlineStr">
        <is>
          <t>1. Chọn "Tạo lịch hẹn"  → Form hiển thị
2. Chọn cùng khách hàng, thú cưng với TC002, không chọn bác sĩ
3. Chọn cùng Ngày, Giờ
4. Chọn dịch vụ, nhấn lưu  → Hiển thị thông báo lỗi</t>
        </is>
      </c>
      <c r="H38" s="4" t="inlineStr">
        <is>
          <t>Bông 106379
2026-10-04 15:00
Tái khám</t>
        </is>
      </c>
      <c r="I38" s="4" t="inlineStr">
        <is>
          <t>Hiển thị "Không thể đặt lịch" – thú cưng đã có lịch trong khung giờ</t>
        </is>
      </c>
      <c r="J38" s="4" t="inlineStr">
        <is>
          <t>Hiển thị "Không thể đặt lịch" (Pet already has an appointment in this timeslot)</t>
        </is>
      </c>
      <c r="K38" s="26" t="inlineStr">
        <is>
          <t>Pass</t>
        </is>
      </c>
      <c r="L38" s="26" t="inlineStr"/>
      <c r="M38" s="26" t="inlineStr"/>
      <c r="N38" s="4" t="inlineStr">
        <is>
          <t>Nhóm kiểm thử</t>
        </is>
      </c>
      <c r="O38" s="26" t="inlineStr">
        <is>
          <t>03/10/2026</t>
        </is>
      </c>
    </row>
    <row r="39">
      <c r="A39" s="26" t="n">
        <v>35</v>
      </c>
      <c r="B39" s="26" t="inlineStr">
        <is>
          <t>UC2.1-TC005</t>
        </is>
      </c>
      <c r="C39" s="4" t="inlineStr">
        <is>
          <t>LỄ TÂN</t>
        </is>
      </c>
      <c r="D39" s="4" t="inlineStr">
        <is>
          <t>UC2.1 Đặt lịch khám</t>
        </is>
      </c>
      <c r="E39" s="4" t="inlineStr">
        <is>
          <t>Đặt lịch vào ngày trong quá khứ</t>
        </is>
      </c>
      <c r="F39" s="4" t="inlineStr">
        <is>
          <t>Ứng dụng đang chạy; dữ liệu mẫu đã nạp</t>
        </is>
      </c>
      <c r="G39" s="4" t="inlineStr">
        <is>
          <t>1. Chọn "Tạo lịch hẹn"  → Form hiển thị
2. Chọn khách hàng, thú cưng, dịch vụ hợp lệ
3. Chọn ngày hôm qua
4. Nhấn lưu  → Hiển thị thông báo lỗi</t>
        </is>
      </c>
      <c r="H39" s="4" t="inlineStr">
        <is>
          <t>Nguyễn Huy / Bông 106379
2026-10-02 10:00</t>
        </is>
      </c>
      <c r="I39" s="4" t="inlineStr">
        <is>
          <t>Hệ thống từ chối lịch hẹn trong quá khứ</t>
        </is>
      </c>
      <c r="J39" s="4" t="inlineStr">
        <is>
          <t>Hệ thống vẫn tạo lịch hẹn ngày 2026-10-02</t>
        </is>
      </c>
      <c r="K39" s="26" t="inlineStr">
        <is>
          <t>Fail</t>
        </is>
      </c>
      <c r="L39" s="26" t="inlineStr">
        <is>
          <t>Trung bình</t>
        </is>
      </c>
      <c r="M39" s="26" t="inlineStr">
        <is>
          <t>BUG-010</t>
        </is>
      </c>
      <c r="N39" s="4" t="inlineStr">
        <is>
          <t>Nhóm kiểm thử</t>
        </is>
      </c>
      <c r="O39" s="26" t="inlineStr">
        <is>
          <t>03/10/2026</t>
        </is>
      </c>
    </row>
    <row r="40">
      <c r="A40" s="26" t="n">
        <v>36</v>
      </c>
      <c r="B40" s="26" t="inlineStr">
        <is>
          <t>UC2.2-TC001</t>
        </is>
      </c>
      <c r="C40" s="4" t="inlineStr">
        <is>
          <t>LỄ TÂN</t>
        </is>
      </c>
      <c r="D40" s="4" t="inlineStr">
        <is>
          <t>UC2.2 Xác nhận / Hủy / Hoàn thành lịch hẹn</t>
        </is>
      </c>
      <c r="E40" s="4" t="inlineStr">
        <is>
          <t>Xác nhận lịch hẹn đang chờ</t>
        </is>
      </c>
      <c r="F40" s="4" t="inlineStr">
        <is>
          <t>Ứng dụng đang chạy; dữ liệu mẫu đã nạp</t>
        </is>
      </c>
      <c r="G40" s="4" t="inlineStr">
        <is>
          <t>1. Có lịch hẹn "Chờ xác nhận" ngày mai  → Lịch hẹn hiển thị ở tab "Quản lý toàn bộ"
2. Nhấn "Xác nhận" tại lịch hẹn  → Trạng thái "Đã xác nhận"</t>
        </is>
      </c>
      <c r="H40" s="4" t="inlineStr">
        <is>
          <t>Cún Xác Nhận / 2026-10-04 11:00</t>
        </is>
      </c>
      <c r="I40" s="4" t="inlineStr">
        <is>
          <t>Hiển thị "Đã cập nhật lịch hẹn", lịch hẹn chuyển trạng thái "Đã xác nhận"</t>
        </is>
      </c>
      <c r="J40" s="4" t="inlineStr">
        <is>
          <t>Lịch hẹn chuyển "Đã xác nhận" (confirmed)</t>
        </is>
      </c>
      <c r="K40" s="26" t="inlineStr">
        <is>
          <t>Pass</t>
        </is>
      </c>
      <c r="L40" s="26" t="inlineStr"/>
      <c r="M40" s="26" t="inlineStr"/>
      <c r="N40" s="4" t="inlineStr">
        <is>
          <t>Nhóm kiểm thử</t>
        </is>
      </c>
      <c r="O40" s="26" t="inlineStr">
        <is>
          <t>03/10/2026</t>
        </is>
      </c>
    </row>
    <row r="41">
      <c r="A41" s="26" t="n">
        <v>37</v>
      </c>
      <c r="B41" s="26" t="inlineStr">
        <is>
          <t>UC2.2-TC002</t>
        </is>
      </c>
      <c r="C41" s="4" t="inlineStr">
        <is>
          <t>LỄ TÂN</t>
        </is>
      </c>
      <c r="D41" s="4" t="inlineStr">
        <is>
          <t>UC2.2 Xác nhận / Hủy / Hoàn thành lịch hẹn</t>
        </is>
      </c>
      <c r="E41" s="4" t="inlineStr">
        <is>
          <t>Hoàn thành lịch hẹn đã xác nhận</t>
        </is>
      </c>
      <c r="F41" s="4" t="inlineStr">
        <is>
          <t>Ứng dụng đang chạy; dữ liệu mẫu đã nạp</t>
        </is>
      </c>
      <c r="G41" s="4" t="inlineStr">
        <is>
          <t>1. Nhấn "Hoàn thành" tại lịch hẹn đã xác nhận ở TC001  → Trạng thái "Hoàn thành"</t>
        </is>
      </c>
      <c r="H41" s="4" t="inlineStr">
        <is>
          <t>Cún Xác Nhận</t>
        </is>
      </c>
      <c r="I41" s="4" t="inlineStr">
        <is>
          <t>Hiển thị "Đã cập nhật lịch hẹn", nút "Hủy lịch" bị vô hiệu</t>
        </is>
      </c>
      <c r="J41" s="4" t="inlineStr">
        <is>
          <t>Lịch hẹn hoàn thành, nút Hủy lịch bị khóa</t>
        </is>
      </c>
      <c r="K41" s="26" t="inlineStr">
        <is>
          <t>Pass</t>
        </is>
      </c>
      <c r="L41" s="26" t="inlineStr"/>
      <c r="M41" s="26" t="inlineStr"/>
      <c r="N41" s="4" t="inlineStr">
        <is>
          <t>Nhóm kiểm thử</t>
        </is>
      </c>
      <c r="O41" s="26" t="inlineStr">
        <is>
          <t>03/10/2026</t>
        </is>
      </c>
    </row>
    <row r="42">
      <c r="A42" s="26" t="n">
        <v>38</v>
      </c>
      <c r="B42" s="26" t="inlineStr">
        <is>
          <t>UC2.2-TC003</t>
        </is>
      </c>
      <c r="C42" s="4" t="inlineStr">
        <is>
          <t>LỄ TÂN</t>
        </is>
      </c>
      <c r="D42" s="4" t="inlineStr">
        <is>
          <t>UC2.2 Xác nhận / Hủy / Hoàn thành lịch hẹn</t>
        </is>
      </c>
      <c r="E42" s="4" t="inlineStr">
        <is>
          <t>Hủy lịch hẹn còn trên 1 tiếng</t>
        </is>
      </c>
      <c r="F42" s="4" t="inlineStr">
        <is>
          <t>Ứng dụng đang chạy; dữ liệu mẫu đã nạp</t>
        </is>
      </c>
      <c r="G42" s="4" t="inlineStr">
        <is>
          <t>1. Tạo lịch hẹn ngày mai cho thú cưng mới  → Lịch hẹn "Chờ xác nhận"
2. Nhấn "Hủy lịch"  → Trạng thái "Đã hủy"</t>
        </is>
      </c>
      <c r="H42" s="4" t="inlineStr">
        <is>
          <t>2026-10-04 09:00</t>
        </is>
      </c>
      <c r="I42" s="4" t="inlineStr">
        <is>
          <t>Hiển thị "Đã hủy lịch hẹn"</t>
        </is>
      </c>
      <c r="J42" s="4" t="inlineStr">
        <is>
          <t>Lịch hẹn đã hủy</t>
        </is>
      </c>
      <c r="K42" s="26" t="inlineStr">
        <is>
          <t>Pass</t>
        </is>
      </c>
      <c r="L42" s="26" t="inlineStr"/>
      <c r="M42" s="26" t="inlineStr"/>
      <c r="N42" s="4" t="inlineStr">
        <is>
          <t>Nhóm kiểm thử</t>
        </is>
      </c>
      <c r="O42" s="26" t="inlineStr">
        <is>
          <t>03/10/2026</t>
        </is>
      </c>
    </row>
    <row r="43">
      <c r="A43" s="26" t="n">
        <v>39</v>
      </c>
      <c r="B43" s="26" t="inlineStr">
        <is>
          <t>UC2.2-TC004</t>
        </is>
      </c>
      <c r="C43" s="4" t="inlineStr">
        <is>
          <t>LỄ TÂN</t>
        </is>
      </c>
      <c r="D43" s="4" t="inlineStr">
        <is>
          <t>UC2.2 Xác nhận / Hủy / Hoàn thành lịch hẹn</t>
        </is>
      </c>
      <c r="E43" s="4" t="inlineStr">
        <is>
          <t>Hủy lịch hẹn khi còn dưới 1 tiếng</t>
        </is>
      </c>
      <c r="F43" s="4" t="inlineStr">
        <is>
          <t>Ứng dụng đang chạy; dữ liệu mẫu đã nạp</t>
        </is>
      </c>
      <c r="G43" s="4" t="inlineStr">
        <is>
          <t>1. Có lịch hẹn bắt đầu sau 30 phút  → Lịch hẹn "Chờ xác nhận"
2. Nhấn "Hủy lịch"  → Hiển thị thông báo lỗi</t>
        </is>
      </c>
      <c r="H43" s="4" t="inlineStr">
        <is>
          <t>Giờ hiện tại + 30 phút</t>
        </is>
      </c>
      <c r="I43" s="4" t="inlineStr">
        <is>
          <t>Hệ thống từ chối – chỉ được hủy trước giờ hẹn ít nhất 1 tiếng (R2.2)</t>
        </is>
      </c>
      <c r="J43" s="4" t="inlineStr">
        <is>
          <t>Lịch hẹn vẫn bị hủy dù chỉ còn 30 phút</t>
        </is>
      </c>
      <c r="K43" s="26" t="inlineStr">
        <is>
          <t>Fail</t>
        </is>
      </c>
      <c r="L43" s="26" t="inlineStr">
        <is>
          <t>Trung bình</t>
        </is>
      </c>
      <c r="M43" s="26" t="inlineStr">
        <is>
          <t>BUG-011</t>
        </is>
      </c>
      <c r="N43" s="4" t="inlineStr">
        <is>
          <t>Nhóm kiểm thử</t>
        </is>
      </c>
      <c r="O43" s="26" t="inlineStr">
        <is>
          <t>03/10/2026</t>
        </is>
      </c>
    </row>
    <row r="44">
      <c r="A44" s="26" t="n">
        <v>40</v>
      </c>
      <c r="B44" s="26" t="inlineStr">
        <is>
          <t>UC3.1-TC001</t>
        </is>
      </c>
      <c r="C44" s="4" t="inlineStr">
        <is>
          <t>BÁC SĨ</t>
        </is>
      </c>
      <c r="D44" s="4" t="inlineStr">
        <is>
          <t>UC3.1 Tạo hồ sơ khám bệnh</t>
        </is>
      </c>
      <c r="E44" s="4" t="inlineStr">
        <is>
          <t>Bỏ trống tất cả các trường và nhấn "Lưu hồ sơ"</t>
        </is>
      </c>
      <c r="F44" s="4" t="inlineStr">
        <is>
          <t>Ứng dụng đang chạy; dữ liệu mẫu đã nạp</t>
        </is>
      </c>
      <c r="G44" s="4" t="inlineStr">
        <is>
          <t>1. Mở tab "Tạo hồ sơ mới"  → Form hồ sơ khám hiển thị
2. Không nhập dữ liệu, nhấn "Lưu hồ sơ"  → Hiển thị thông báo lỗi</t>
        </is>
      </c>
      <c r="H44" s="4" t="inlineStr"/>
      <c r="I44" s="4" t="inlineStr">
        <is>
          <t>Hiển thị lỗi "Vui lòng chọn thú cưng", "Vui lòng chọn bác sĩ", "Triệu chứng là bắt buộc", "Chẩn đoán là bắt buộc", "Phác đồ điều trị là bắt buộc"</t>
        </is>
      </c>
      <c r="J44" s="4" t="inlineStr">
        <is>
          <t>Hiển thị đủ 5 thông báo lỗi</t>
        </is>
      </c>
      <c r="K44" s="26" t="inlineStr">
        <is>
          <t>Pass</t>
        </is>
      </c>
      <c r="L44" s="26" t="inlineStr"/>
      <c r="M44" s="26" t="inlineStr"/>
      <c r="N44" s="4" t="inlineStr">
        <is>
          <t>Nhóm kiểm thử</t>
        </is>
      </c>
      <c r="O44" s="26" t="inlineStr">
        <is>
          <t>03/10/2026</t>
        </is>
      </c>
    </row>
    <row r="45">
      <c r="A45" s="26" t="n">
        <v>41</v>
      </c>
      <c r="B45" s="26" t="inlineStr">
        <is>
          <t>UC3.1-TC002</t>
        </is>
      </c>
      <c r="C45" s="4" t="inlineStr">
        <is>
          <t>BÁC SĨ</t>
        </is>
      </c>
      <c r="D45" s="4" t="inlineStr">
        <is>
          <t>UC3.1 Tạo hồ sơ khám bệnh</t>
        </is>
      </c>
      <c r="E45" s="4" t="inlineStr">
        <is>
          <t>Bỏ trống Chẩn đoán</t>
        </is>
      </c>
      <c r="F45" s="4" t="inlineStr">
        <is>
          <t>Ứng dụng đang chạy; dữ liệu mẫu đã nạp</t>
        </is>
      </c>
      <c r="G45" s="4" t="inlineStr">
        <is>
          <t>1. Mở tab "Tạo hồ sơ mới"  → Form hiển thị
2. Chọn Thú cưng, Bác sĩ
3. Nhập Triệu chứng, Điều trị; bỏ trống Chẩn đoán
4. Nhấn "Lưu hồ sơ"  → Hiển thị thông báo lỗi</t>
        </is>
      </c>
      <c r="H45" s="4" t="inlineStr">
        <is>
          <t>Bông 106379
Bỏ ăn 2 ngày / Truyền dịch</t>
        </is>
      </c>
      <c r="I45" s="4" t="inlineStr">
        <is>
          <t>Hiển thị lỗi "Chẩn đoán là bắt buộc"</t>
        </is>
      </c>
      <c r="J45" s="4" t="inlineStr">
        <is>
          <t>Hiển thị lỗi chẩn đoán</t>
        </is>
      </c>
      <c r="K45" s="26" t="inlineStr">
        <is>
          <t>Pass</t>
        </is>
      </c>
      <c r="L45" s="26" t="inlineStr"/>
      <c r="M45" s="26" t="inlineStr"/>
      <c r="N45" s="4" t="inlineStr">
        <is>
          <t>Nhóm kiểm thử</t>
        </is>
      </c>
      <c r="O45" s="26" t="inlineStr">
        <is>
          <t>03/10/2026</t>
        </is>
      </c>
    </row>
    <row r="46">
      <c r="A46" s="26" t="n">
        <v>42</v>
      </c>
      <c r="B46" s="26" t="inlineStr">
        <is>
          <t>UC3.1-TC003</t>
        </is>
      </c>
      <c r="C46" s="4" t="inlineStr">
        <is>
          <t>BÁC SĨ</t>
        </is>
      </c>
      <c r="D46" s="4" t="inlineStr">
        <is>
          <t>UC3.1 Tạo hồ sơ khám bệnh</t>
        </is>
      </c>
      <c r="E46" s="4" t="inlineStr">
        <is>
          <t>Nhập đầy đủ thông tin hồ sơ khám hợp lệ</t>
        </is>
      </c>
      <c r="F46" s="4" t="inlineStr">
        <is>
          <t>Ứng dụng đang chạy; dữ liệu mẫu đã nạp</t>
        </is>
      </c>
      <c r="G46" s="4" t="inlineStr">
        <is>
          <t>1. Mở tab "Tạo hồ sơ mới"  → Form hiển thị
2. Chọn Thú cưng, Bác sĩ
3. Nhập Triệu chứng
4. Nhập Chẩn đoán
5. Nhập Phác đồ điều trị
6. Nhấn "Lưu hồ sơ"  → Hiển thị thông báo thành công</t>
        </is>
      </c>
      <c r="H46" s="4" t="inlineStr">
        <is>
          <t>Bông 106379
Bỏ ăn 2 ngày, nôn
Viêm dạ dày 106379
Truyền dịch, kháng sinh 5 ngày</t>
        </is>
      </c>
      <c r="I46" s="4" t="inlineStr">
        <is>
          <t>Hiển thị "Lưu hồ sơ khám thành công", hồ sơ xuất hiện trong danh sách</t>
        </is>
      </c>
      <c r="J46" s="4" t="inlineStr">
        <is>
          <t>Lưu hồ sơ khám thành công</t>
        </is>
      </c>
      <c r="K46" s="26" t="inlineStr">
        <is>
          <t>Pass</t>
        </is>
      </c>
      <c r="L46" s="26" t="inlineStr"/>
      <c r="M46" s="26" t="inlineStr"/>
      <c r="N46" s="4" t="inlineStr">
        <is>
          <t>Nhóm kiểm thử</t>
        </is>
      </c>
      <c r="O46" s="26" t="inlineStr">
        <is>
          <t>03/10/2026</t>
        </is>
      </c>
    </row>
    <row r="47">
      <c r="A47" s="26" t="n">
        <v>43</v>
      </c>
      <c r="B47" s="26" t="inlineStr">
        <is>
          <t>UC3.3-TC001</t>
        </is>
      </c>
      <c r="C47" s="4" t="inlineStr">
        <is>
          <t>BÁC SĨ</t>
        </is>
      </c>
      <c r="D47" s="4" t="inlineStr">
        <is>
          <t>UC3.3 Tra cứu lịch sử khám</t>
        </is>
      </c>
      <c r="E47" s="4" t="inlineStr">
        <is>
          <t>Tìm hồ sơ theo chẩn đoán</t>
        </is>
      </c>
      <c r="F47" s="4" t="inlineStr">
        <is>
          <t>Ứng dụng đang chạy; dữ liệu mẫu đã nạp</t>
        </is>
      </c>
      <c r="G47" s="4" t="inlineStr">
        <is>
          <t>1. Mở tab "Danh sách hồ sơ"  → Danh sách hồ sơ hiển thị
2. Nhập chẩn đoán vào ô tìm kiếm  → Danh sách được lọc</t>
        </is>
      </c>
      <c r="H47" s="4" t="inlineStr">
        <is>
          <t>Viêm dạ dày 106379</t>
        </is>
      </c>
      <c r="I47" s="4" t="inlineStr">
        <is>
          <t>Hiển thị "1 hồ sơ" có chẩn đoán tương ứng</t>
        </is>
      </c>
      <c r="J47" s="4" t="inlineStr">
        <is>
          <t>Hiển thị 1 hồ sơ đúng chẩn đoán</t>
        </is>
      </c>
      <c r="K47" s="26" t="inlineStr">
        <is>
          <t>Pass</t>
        </is>
      </c>
      <c r="L47" s="26" t="inlineStr"/>
      <c r="M47" s="26" t="inlineStr"/>
      <c r="N47" s="4" t="inlineStr">
        <is>
          <t>Nhóm kiểm thử</t>
        </is>
      </c>
      <c r="O47" s="26" t="inlineStr">
        <is>
          <t>03/10/2026</t>
        </is>
      </c>
    </row>
    <row r="48">
      <c r="A48" s="26" t="n">
        <v>44</v>
      </c>
      <c r="B48" s="26" t="inlineStr">
        <is>
          <t>UC3.3-TC002</t>
        </is>
      </c>
      <c r="C48" s="4" t="inlineStr">
        <is>
          <t>BÁC SĨ</t>
        </is>
      </c>
      <c r="D48" s="4" t="inlineStr">
        <is>
          <t>UC3.3 Tra cứu lịch sử khám</t>
        </is>
      </c>
      <c r="E48" s="4" t="inlineStr">
        <is>
          <t>Tìm hồ sơ với từ khóa không tồn tại</t>
        </is>
      </c>
      <c r="F48" s="4" t="inlineStr">
        <is>
          <t>Ứng dụng đang chạy; dữ liệu mẫu đã nạp</t>
        </is>
      </c>
      <c r="G48" s="4" t="inlineStr">
        <is>
          <t>1. Nhập từ khóa không có trong dữ liệu  → Danh sách rỗng</t>
        </is>
      </c>
      <c r="H48" s="4" t="inlineStr">
        <is>
          <t>zzzkhongco</t>
        </is>
      </c>
      <c r="I48" s="4" t="inlineStr">
        <is>
          <t>Hiển thị "Không tìm thấy hồ sơ theo điều kiện tìm kiếm."</t>
        </is>
      </c>
      <c r="J48" s="4" t="inlineStr">
        <is>
          <t>Hiển thị thông báo không tìm thấy</t>
        </is>
      </c>
      <c r="K48" s="26" t="inlineStr">
        <is>
          <t>Pass</t>
        </is>
      </c>
      <c r="L48" s="26" t="inlineStr"/>
      <c r="M48" s="26" t="inlineStr"/>
      <c r="N48" s="4" t="inlineStr">
        <is>
          <t>Nhóm kiểm thử</t>
        </is>
      </c>
      <c r="O48" s="26" t="inlineStr">
        <is>
          <t>03/10/2026</t>
        </is>
      </c>
    </row>
    <row r="49">
      <c r="A49" s="26" t="n">
        <v>45</v>
      </c>
      <c r="B49" s="26" t="inlineStr">
        <is>
          <t>UC3.3-TC003</t>
        </is>
      </c>
      <c r="C49" s="4" t="inlineStr">
        <is>
          <t>BÁC SĨ</t>
        </is>
      </c>
      <c r="D49" s="4" t="inlineStr">
        <is>
          <t>UC3.3 Tra cứu lịch sử khám</t>
        </is>
      </c>
      <c r="E49" s="4" t="inlineStr">
        <is>
          <t>Tìm hồ sơ theo chẩn đoán có nhiều kết quả</t>
        </is>
      </c>
      <c r="F49" s="4" t="inlineStr">
        <is>
          <t>Ứng dụng đang chạy; dữ liệu mẫu đã nạp</t>
        </is>
      </c>
      <c r="G49" s="4" t="inlineStr">
        <is>
          <t>1. Mở tab "Danh sách hồ sơ"  → Danh sách hồ sơ mẫu hiển thị
2. Nhập chẩn đoán vào ô tìm kiếm  → Danh sách được lọc</t>
        </is>
      </c>
      <c r="H49" s="4" t="inlineStr">
        <is>
          <t>Viêm da dị ứng</t>
        </is>
      </c>
      <c r="I49" s="4" t="inlineStr">
        <is>
          <t>Hiển thị "4 hồ sơ", tất cả có chẩn đoán "Viêm da dị ứng"</t>
        </is>
      </c>
      <c r="J49" s="4" t="inlineStr">
        <is>
          <t>Hiển thị 4 hồ sơ "Viêm da dị ứng"</t>
        </is>
      </c>
      <c r="K49" s="26" t="inlineStr">
        <is>
          <t>Pass</t>
        </is>
      </c>
      <c r="L49" s="26" t="inlineStr"/>
      <c r="M49" s="26" t="inlineStr"/>
      <c r="N49" s="4" t="inlineStr">
        <is>
          <t>Nhóm kiểm thử</t>
        </is>
      </c>
      <c r="O49" s="26" t="inlineStr">
        <is>
          <t>03/10/2026</t>
        </is>
      </c>
    </row>
    <row r="50">
      <c r="A50" s="26" t="n">
        <v>46</v>
      </c>
      <c r="B50" s="26" t="inlineStr">
        <is>
          <t>UC3.3-TC004</t>
        </is>
      </c>
      <c r="C50" s="4" t="inlineStr">
        <is>
          <t>BÁC SĨ</t>
        </is>
      </c>
      <c r="D50" s="4" t="inlineStr">
        <is>
          <t>UC3.3 Tra cứu lịch sử khám</t>
        </is>
      </c>
      <c r="E50" s="4" t="inlineStr">
        <is>
          <t>Hiển thị toàn bộ lịch sử khám</t>
        </is>
      </c>
      <c r="F50" s="4" t="inlineStr">
        <is>
          <t>Ứng dụng đang chạy; dữ liệu mẫu đã nạp</t>
        </is>
      </c>
      <c r="G50" s="4" t="inlineStr">
        <is>
          <t>1. Mở tab "Danh sách hồ sơ", không nhập từ khóa  → Danh sách đầy đủ</t>
        </is>
      </c>
      <c r="H50" s="4" t="inlineStr"/>
      <c r="I50" s="4" t="inlineStr">
        <is>
          <t>Số hồ sơ hiển thị bằng tổng số hồ sơ trong CSDL (43 hồ sơ mẫu + hồ sơ tạo ở UC3.1-TC003)</t>
        </is>
      </c>
      <c r="J50" s="4" t="inlineStr">
        <is>
          <t>Hiển thị đủ 44 hồ sơ</t>
        </is>
      </c>
      <c r="K50" s="26" t="inlineStr">
        <is>
          <t>Pass</t>
        </is>
      </c>
      <c r="L50" s="26" t="inlineStr"/>
      <c r="M50" s="26" t="inlineStr"/>
      <c r="N50" s="4" t="inlineStr">
        <is>
          <t>Nhóm kiểm thử</t>
        </is>
      </c>
      <c r="O50" s="26" t="inlineStr">
        <is>
          <t>03/10/2026</t>
        </is>
      </c>
    </row>
    <row r="51">
      <c r="A51" s="26" t="n">
        <v>47</v>
      </c>
      <c r="B51" s="26" t="inlineStr">
        <is>
          <t>UC2.4-TC001</t>
        </is>
      </c>
      <c r="C51" s="4" t="inlineStr">
        <is>
          <t>BÁC SĨ</t>
        </is>
      </c>
      <c r="D51" s="4" t="inlineStr">
        <is>
          <t>UC2.4 Quản lý ca làm việc bác sĩ</t>
        </is>
      </c>
      <c r="E51" s="4" t="inlineStr">
        <is>
          <t>Không chọn bác sĩ và ngày trực</t>
        </is>
      </c>
      <c r="F51" s="4" t="inlineStr">
        <is>
          <t>Ứng dụng đang chạy; dữ liệu mẫu đã nạp</t>
        </is>
      </c>
      <c r="G51" s="4" t="inlineStr">
        <is>
          <t>1. Chọn "Tạo ca trực"  → Form tạo ca trực hiển thị
2. Không chọn bác sĩ, ngày; nhấn "Lưu ca trực"  → Hiển thị thông báo lỗi</t>
        </is>
      </c>
      <c r="H51" s="4" t="inlineStr"/>
      <c r="I51" s="4" t="inlineStr">
        <is>
          <t>Hiển thị "Vui lòng chọn bác sĩ và ngày trực"</t>
        </is>
      </c>
      <c r="J51" s="4" t="inlineStr">
        <is>
          <t>Hiển thị thông báo lỗi</t>
        </is>
      </c>
      <c r="K51" s="26" t="inlineStr">
        <is>
          <t>Pass</t>
        </is>
      </c>
      <c r="L51" s="26" t="inlineStr"/>
      <c r="M51" s="26" t="inlineStr"/>
      <c r="N51" s="4" t="inlineStr">
        <is>
          <t>Nhóm kiểm thử</t>
        </is>
      </c>
      <c r="O51" s="26" t="inlineStr">
        <is>
          <t>03/10/2026</t>
        </is>
      </c>
    </row>
    <row r="52">
      <c r="A52" s="26" t="n">
        <v>48</v>
      </c>
      <c r="B52" s="26" t="inlineStr">
        <is>
          <t>UC2.4-TC002</t>
        </is>
      </c>
      <c r="C52" s="4" t="inlineStr">
        <is>
          <t>BÁC SĨ</t>
        </is>
      </c>
      <c r="D52" s="4" t="inlineStr">
        <is>
          <t>UC2.4 Quản lý ca làm việc bác sĩ</t>
        </is>
      </c>
      <c r="E52" s="4" t="inlineStr">
        <is>
          <t>Tạo ca trực hợp lệ</t>
        </is>
      </c>
      <c r="F52" s="4" t="inlineStr">
        <is>
          <t>Ứng dụng đang chạy; dữ liệu mẫu đã nạp</t>
        </is>
      </c>
      <c r="G52" s="4" t="inlineStr">
        <is>
          <t>1. Chọn "Tạo ca trực"  → Form hiển thị
2. Chọn Bác sĩ, Ngày trực
3. Nhập giờ bắt đầu – kết thúc
4. Nhấn "Lưu ca trực"  → Hiển thị thông báo thành công</t>
        </is>
      </c>
      <c r="H52" s="4" t="inlineStr">
        <is>
          <t>Bác sĩ đầu tiên / 2026-10-06
08:00 – 12:00</t>
        </is>
      </c>
      <c r="I52" s="4" t="inlineStr">
        <is>
          <t>Hiển thị "Đã tạo ca trực"</t>
        </is>
      </c>
      <c r="J52" s="4" t="inlineStr">
        <is>
          <t>Tạo ca trực thành công</t>
        </is>
      </c>
      <c r="K52" s="26" t="inlineStr">
        <is>
          <t>Pass</t>
        </is>
      </c>
      <c r="L52" s="26" t="inlineStr"/>
      <c r="M52" s="26" t="inlineStr"/>
      <c r="N52" s="4" t="inlineStr">
        <is>
          <t>Nhóm kiểm thử</t>
        </is>
      </c>
      <c r="O52" s="26" t="inlineStr">
        <is>
          <t>03/10/2026</t>
        </is>
      </c>
    </row>
    <row r="53">
      <c r="A53" s="26" t="n">
        <v>49</v>
      </c>
      <c r="B53" s="26" t="inlineStr">
        <is>
          <t>UC2.4-TC003</t>
        </is>
      </c>
      <c r="C53" s="4" t="inlineStr">
        <is>
          <t>BÁC SĨ</t>
        </is>
      </c>
      <c r="D53" s="4" t="inlineStr">
        <is>
          <t>UC2.4 Quản lý ca làm việc bác sĩ</t>
        </is>
      </c>
      <c r="E53" s="4" t="inlineStr">
        <is>
          <t>Giờ kết thúc sớm hơn giờ bắt đầu</t>
        </is>
      </c>
      <c r="F53" s="4" t="inlineStr">
        <is>
          <t>Ứng dụng đang chạy; dữ liệu mẫu đã nạp</t>
        </is>
      </c>
      <c r="G53" s="4" t="inlineStr">
        <is>
          <t>1. Chọn "Tạo ca trực"  → Form hiển thị
2. Chọn Bác sĩ, Ngày trực
3. Nhập giờ bắt đầu 17:00, kết thúc 13:00
4. Nhấn "Lưu ca trực"  → Hiển thị thông báo lỗi</t>
        </is>
      </c>
      <c r="H53" s="4" t="inlineStr">
        <is>
          <t>2026-10-06
17:00 – 13:00</t>
        </is>
      </c>
      <c r="I53" s="4" t="inlineStr">
        <is>
          <t>Hệ thống từ chối ca trực có giờ kết thúc trước giờ bắt đầu</t>
        </is>
      </c>
      <c r="J53" s="4" t="inlineStr">
        <is>
          <t>Ca trực 17:00 – 13:00 vẫn được tạo</t>
        </is>
      </c>
      <c r="K53" s="26" t="inlineStr">
        <is>
          <t>Fail</t>
        </is>
      </c>
      <c r="L53" s="26" t="inlineStr">
        <is>
          <t>Trung bình</t>
        </is>
      </c>
      <c r="M53" s="26" t="inlineStr">
        <is>
          <t>BUG-012</t>
        </is>
      </c>
      <c r="N53" s="4" t="inlineStr">
        <is>
          <t>Nhóm kiểm thử</t>
        </is>
      </c>
      <c r="O53" s="26" t="inlineStr">
        <is>
          <t>03/10/2026</t>
        </is>
      </c>
    </row>
    <row r="54">
      <c r="A54" s="26" t="n">
        <v>50</v>
      </c>
      <c r="B54" s="26" t="inlineStr">
        <is>
          <t>UC2.4-TC004</t>
        </is>
      </c>
      <c r="C54" s="4" t="inlineStr">
        <is>
          <t>BÁC SĨ</t>
        </is>
      </c>
      <c r="D54" s="4" t="inlineStr">
        <is>
          <t>UC2.4 Quản lý ca làm việc bác sĩ</t>
        </is>
      </c>
      <c r="E54" s="4" t="inlineStr">
        <is>
          <t>Tạo ca trực trùng với ca đã có của bác sĩ</t>
        </is>
      </c>
      <c r="F54" s="4" t="inlineStr">
        <is>
          <t>Ứng dụng đang chạy; dữ liệu mẫu đã nạp</t>
        </is>
      </c>
      <c r="G54" s="4" t="inlineStr">
        <is>
          <t>1. Chọn "Tạo ca trực"  → Form hiển thị
2. Chọn cùng Bác sĩ, Ngày với TC002
3. Nhập giờ 09:00 – 11:00 (giao với 08:00 – 12:00)
4. Nhấn "Lưu ca trực"  → Hiển thị thông báo lỗi</t>
        </is>
      </c>
      <c r="H54" s="4" t="inlineStr">
        <is>
          <t>2026-10-06
09:00 – 11:00</t>
        </is>
      </c>
      <c r="I54" s="4" t="inlineStr">
        <is>
          <t>Hệ thống báo trùng ca, không tạo ca trực (R2.4 – tránh trùng lịch)</t>
        </is>
      </c>
      <c r="J54" s="4" t="inlineStr">
        <is>
          <t>Ca trực trùng giờ vẫn được tạo</t>
        </is>
      </c>
      <c r="K54" s="26" t="inlineStr">
        <is>
          <t>Fail</t>
        </is>
      </c>
      <c r="L54" s="26" t="inlineStr">
        <is>
          <t>Trung bình</t>
        </is>
      </c>
      <c r="M54" s="26" t="inlineStr">
        <is>
          <t>BUG-013</t>
        </is>
      </c>
      <c r="N54" s="4" t="inlineStr">
        <is>
          <t>Nhóm kiểm thử</t>
        </is>
      </c>
      <c r="O54" s="26" t="inlineStr">
        <is>
          <t>03/10/2026</t>
        </is>
      </c>
    </row>
    <row r="55">
      <c r="A55" s="26" t="n">
        <v>51</v>
      </c>
      <c r="B55" s="26" t="inlineStr">
        <is>
          <t>UC2.4-TC005</t>
        </is>
      </c>
      <c r="C55" s="4" t="inlineStr">
        <is>
          <t>BÁC SĨ</t>
        </is>
      </c>
      <c r="D55" s="4" t="inlineStr">
        <is>
          <t>UC2.4 Quản lý ca làm việc bác sĩ</t>
        </is>
      </c>
      <c r="E55" s="4" t="inlineStr">
        <is>
          <t>Xóa ca trực</t>
        </is>
      </c>
      <c r="F55" s="4" t="inlineStr">
        <is>
          <t>Ứng dụng đang chạy; dữ liệu mẫu đã nạp</t>
        </is>
      </c>
      <c r="G55" s="4" t="inlineStr">
        <is>
          <t>1. Nhấn "Xóa ca" tại một ca trực  → Ca trực bị xóa khỏi danh sách</t>
        </is>
      </c>
      <c r="H55" s="4" t="inlineStr"/>
      <c r="I55" s="4" t="inlineStr">
        <is>
          <t>Hiển thị "Đã xóa ca trực"</t>
        </is>
      </c>
      <c r="J55" s="4" t="inlineStr">
        <is>
          <t>Xóa ca trực thành công</t>
        </is>
      </c>
      <c r="K55" s="26" t="inlineStr">
        <is>
          <t>Pass</t>
        </is>
      </c>
      <c r="L55" s="26" t="inlineStr"/>
      <c r="M55" s="26" t="inlineStr"/>
      <c r="N55" s="4" t="inlineStr">
        <is>
          <t>Nhóm kiểm thử</t>
        </is>
      </c>
      <c r="O55" s="26" t="inlineStr">
        <is>
          <t>03/10/2026</t>
        </is>
      </c>
    </row>
    <row r="56">
      <c r="A56" s="26" t="n">
        <v>52</v>
      </c>
      <c r="B56" s="26" t="inlineStr">
        <is>
          <t>UC8.2-TC001</t>
        </is>
      </c>
      <c r="C56" s="4" t="inlineStr">
        <is>
          <t>BÁC SĨ</t>
        </is>
      </c>
      <c r="D56" s="4" t="inlineStr">
        <is>
          <t>UC8.2 Theo dõi thú cưng qua camera</t>
        </is>
      </c>
      <c r="E56" s="4" t="inlineStr">
        <is>
          <t>Xem danh sách camera đang trực tuyến</t>
        </is>
      </c>
      <c r="F56" s="4" t="inlineStr">
        <is>
          <t>Ứng dụng đang chạy; dữ liệu mẫu đã nạp</t>
        </is>
      </c>
      <c r="G56" s="4" t="inlineStr">
        <is>
          <t>1. Chọn menu "Camera giám sát"  → Danh sách camera hiển thị</t>
        </is>
      </c>
      <c r="H56" s="4" t="inlineStr"/>
      <c r="I56" s="4" t="inlineStr">
        <is>
          <t>Hiển thị 12 camera trực tuyến (Phòng 01–03, 05–08, 10–12, 14, 15); không hiển thị 3 camera tắt (04, 09, 13)</t>
        </is>
      </c>
      <c r="J56" s="4" t="inlineStr">
        <is>
          <t>Hiển thị đủ 12 camera trực tuyến</t>
        </is>
      </c>
      <c r="K56" s="26" t="inlineStr">
        <is>
          <t>Pass</t>
        </is>
      </c>
      <c r="L56" s="26" t="inlineStr"/>
      <c r="M56" s="26" t="inlineStr"/>
      <c r="N56" s="4" t="inlineStr">
        <is>
          <t>Nhóm kiểm thử</t>
        </is>
      </c>
      <c r="O56" s="26" t="inlineStr">
        <is>
          <t>03/10/2026</t>
        </is>
      </c>
    </row>
    <row r="57">
      <c r="A57" s="26" t="n">
        <v>53</v>
      </c>
      <c r="B57" s="26" t="inlineStr">
        <is>
          <t>UC8.2-TC002</t>
        </is>
      </c>
      <c r="C57" s="4" t="inlineStr">
        <is>
          <t>BÁC SĨ</t>
        </is>
      </c>
      <c r="D57" s="4" t="inlineStr">
        <is>
          <t>UC8.2 Theo dõi thú cưng qua camera</t>
        </is>
      </c>
      <c r="E57" s="4" t="inlineStr">
        <is>
          <t>Lọc camera theo trạng thái "Ngoại tuyến"</t>
        </is>
      </c>
      <c r="F57" s="4" t="inlineStr">
        <is>
          <t>Ứng dụng đang chạy; dữ liệu mẫu đã nạp</t>
        </is>
      </c>
      <c r="G57" s="4" t="inlineStr">
        <is>
          <t>1. Chọn menu "Camera giám sát"  → Danh sách camera hiển thị
2. Chọn bộ lọc trạng thái "Ngoại tuyến"  → Hiển thị camera ngoại tuyến</t>
        </is>
      </c>
      <c r="H57" s="4" t="inlineStr">
        <is>
          <t>Phòng 04, 09, 13 (camera đang tắt)</t>
        </is>
      </c>
      <c r="I57" s="4" t="inlineStr">
        <is>
          <t>Hiển thị 3 camera Phòng 04, 09, 13 với nhãn "Ngoại tuyến"</t>
        </is>
      </c>
      <c r="J57" s="4" t="inlineStr">
        <is>
          <t>Danh sách trống – API /api/camera-streams chỉ trả về camera đang hoạt động nên bộ lọc "Ngoại tuyến" không bao giờ có kết quả</t>
        </is>
      </c>
      <c r="K57" s="26" t="inlineStr">
        <is>
          <t>Fail</t>
        </is>
      </c>
      <c r="L57" s="26" t="inlineStr">
        <is>
          <t>Thấp</t>
        </is>
      </c>
      <c r="M57" s="26" t="inlineStr">
        <is>
          <t>BUG-021</t>
        </is>
      </c>
      <c r="N57" s="4" t="inlineStr">
        <is>
          <t>Nhóm kiểm thử</t>
        </is>
      </c>
      <c r="O57" s="26" t="inlineStr">
        <is>
          <t>03/10/2026</t>
        </is>
      </c>
    </row>
    <row r="58">
      <c r="A58" s="26" t="n">
        <v>54</v>
      </c>
      <c r="B58" s="26" t="inlineStr">
        <is>
          <t>UC8.2-TC003</t>
        </is>
      </c>
      <c r="C58" s="4" t="inlineStr">
        <is>
          <t>BÁC SĨ</t>
        </is>
      </c>
      <c r="D58" s="4" t="inlineStr">
        <is>
          <t>UC8.2 Theo dõi thú cưng qua camera</t>
        </is>
      </c>
      <c r="E58" s="4" t="inlineStr">
        <is>
          <t>Tìm camera theo số phòng</t>
        </is>
      </c>
      <c r="F58" s="4" t="inlineStr">
        <is>
          <t>Ứng dụng đang chạy; dữ liệu mẫu đã nạp</t>
        </is>
      </c>
      <c r="G58" s="4" t="inlineStr">
        <is>
          <t>1. Chọn menu "Camera giám sát"  → Danh sách camera hiển thị
2. Nhập số phòng vào ô tìm kiếm  → Danh sách được lọc</t>
        </is>
      </c>
      <c r="H58" s="4" t="inlineStr">
        <is>
          <t>Phòng 12</t>
        </is>
      </c>
      <c r="I58" s="4" t="inlineStr">
        <is>
          <t>Chỉ hiển thị camera Phòng 12</t>
        </is>
      </c>
      <c r="J58" s="4" t="inlineStr">
        <is>
          <t>Chỉ hiển thị camera Phòng 12</t>
        </is>
      </c>
      <c r="K58" s="26" t="inlineStr">
        <is>
          <t>Pass</t>
        </is>
      </c>
      <c r="L58" s="26" t="inlineStr"/>
      <c r="M58" s="26" t="inlineStr"/>
      <c r="N58" s="4" t="inlineStr">
        <is>
          <t>Nhóm kiểm thử</t>
        </is>
      </c>
      <c r="O58" s="26" t="inlineStr">
        <is>
          <t>03/10/2026</t>
        </is>
      </c>
    </row>
    <row r="59">
      <c r="A59" s="26" t="n">
        <v>55</v>
      </c>
      <c r="B59" s="26" t="inlineStr">
        <is>
          <t>UC6.1-TC001</t>
        </is>
      </c>
      <c r="C59" s="4" t="inlineStr">
        <is>
          <t>QUẢN TRỊ VIÊN / KẾ TOÁN</t>
        </is>
      </c>
      <c r="D59" s="4" t="inlineStr">
        <is>
          <t>UC6.1 Quản lý thông tin bác sĩ</t>
        </is>
      </c>
      <c r="E59" s="4" t="inlineStr">
        <is>
          <t>Bỏ trống tất cả các trường và nhấn "Tạo bác sĩ"</t>
        </is>
      </c>
      <c r="F59" s="4" t="inlineStr">
        <is>
          <t>Ứng dụng đang chạy; dữ liệu mẫu đã nạp</t>
        </is>
      </c>
      <c r="G59" s="4" t="inlineStr">
        <is>
          <t>1. Chọn "Thêm bác sĩ"  → Form thêm bác sĩ hiển thị
2. Không nhập dữ liệu, nhấn "Tạo bác sĩ"  → Hiển thị thông báo lỗi</t>
        </is>
      </c>
      <c r="H59" s="4" t="inlineStr"/>
      <c r="I59" s="4" t="inlineStr">
        <is>
          <t>Hiển thị thông báo lỗi rõ ràng cho từng trường bắt buộc</t>
        </is>
      </c>
      <c r="J59" s="4" t="inlineStr">
        <is>
          <t>Hiển thị "Không thể thêm bác sĩ" kèm chuỗi lỗi kỹ thuật (JSON của Zod), khó hiểu với người dùng</t>
        </is>
      </c>
      <c r="K59" s="26" t="inlineStr">
        <is>
          <t>Fail</t>
        </is>
      </c>
      <c r="L59" s="26" t="inlineStr">
        <is>
          <t>Thấp</t>
        </is>
      </c>
      <c r="M59" s="26" t="inlineStr">
        <is>
          <t>BUG-022</t>
        </is>
      </c>
      <c r="N59" s="4" t="inlineStr">
        <is>
          <t>Nhóm kiểm thử</t>
        </is>
      </c>
      <c r="O59" s="26" t="inlineStr">
        <is>
          <t>03/10/2026</t>
        </is>
      </c>
    </row>
    <row r="60">
      <c r="A60" s="26" t="n">
        <v>56</v>
      </c>
      <c r="B60" s="26" t="inlineStr">
        <is>
          <t>UC6.1-TC002</t>
        </is>
      </c>
      <c r="C60" s="4" t="inlineStr">
        <is>
          <t>QUẢN TRỊ VIÊN / KẾ TOÁN</t>
        </is>
      </c>
      <c r="D60" s="4" t="inlineStr">
        <is>
          <t>UC6.1 Quản lý thông tin bác sĩ</t>
        </is>
      </c>
      <c r="E60" s="4" t="inlineStr">
        <is>
          <t>Email bác sĩ sai định dạng</t>
        </is>
      </c>
      <c r="F60" s="4" t="inlineStr">
        <is>
          <t>Ứng dụng đang chạy; dữ liệu mẫu đã nạp</t>
        </is>
      </c>
      <c r="G60" s="4" t="inlineStr">
        <is>
          <t>1. Chọn "Thêm bác sĩ"  → Form hiển thị
2. Nhập Họ tên, Chuyên khoa, Mã hành nghề hợp lệ
3. Nhập Email sai
4. Nhấn "Tạo bác sĩ"  → Hiển thị thông báo lỗi</t>
        </is>
      </c>
      <c r="H60" s="4" t="inlineStr">
        <is>
          <t>BS. Hà An / Nội khoa / VET-106379
haan.vet</t>
        </is>
      </c>
      <c r="I60" s="4" t="inlineStr">
        <is>
          <t>Hiển thị "Không thể thêm bác sĩ", không tạo bác sĩ</t>
        </is>
      </c>
      <c r="J60" s="4" t="inlineStr">
        <is>
          <t>Hiển thị "Không thể thêm bác sĩ"</t>
        </is>
      </c>
      <c r="K60" s="26" t="inlineStr">
        <is>
          <t>Pass</t>
        </is>
      </c>
      <c r="L60" s="26" t="inlineStr"/>
      <c r="M60" s="26" t="inlineStr"/>
      <c r="N60" s="4" t="inlineStr">
        <is>
          <t>Nhóm kiểm thử</t>
        </is>
      </c>
      <c r="O60" s="26" t="inlineStr">
        <is>
          <t>03/10/2026</t>
        </is>
      </c>
    </row>
    <row r="61">
      <c r="A61" s="26" t="n">
        <v>57</v>
      </c>
      <c r="B61" s="26" t="inlineStr">
        <is>
          <t>UC6.1-TC003</t>
        </is>
      </c>
      <c r="C61" s="4" t="inlineStr">
        <is>
          <t>QUẢN TRỊ VIÊN / KẾ TOÁN</t>
        </is>
      </c>
      <c r="D61" s="4" t="inlineStr">
        <is>
          <t>UC6.1 Quản lý thông tin bác sĩ</t>
        </is>
      </c>
      <c r="E61" s="4" t="inlineStr">
        <is>
          <t>Thêm bác sĩ hợp lệ</t>
        </is>
      </c>
      <c r="F61" s="4" t="inlineStr">
        <is>
          <t>Ứng dụng đang chạy; dữ liệu mẫu đã nạp</t>
        </is>
      </c>
      <c r="G61" s="4" t="inlineStr">
        <is>
          <t>1. Chọn "Thêm bác sĩ"  → Form hiển thị
2. Nhập Họ tên, Email
3. Nhập SĐT, Chuyên khoa, Mã hành nghề
4. Nhấn "Tạo bác sĩ"  → Hiển thị thông báo thành công</t>
        </is>
      </c>
      <c r="H61" s="4" t="inlineStr">
        <is>
          <t>BS. Kiểm Thử 106379 / bs106379@petclinic.vn
0901234567 / Da liễu / VET-106379</t>
        </is>
      </c>
      <c r="I61" s="4" t="inlineStr">
        <is>
          <t>Hiển thị "Đã thêm bác sĩ mới", bác sĩ xuất hiện trong danh sách</t>
        </is>
      </c>
      <c r="J61" s="4" t="inlineStr">
        <is>
          <t>Đã thêm bác sĩ mới</t>
        </is>
      </c>
      <c r="K61" s="26" t="inlineStr">
        <is>
          <t>Pass</t>
        </is>
      </c>
      <c r="L61" s="26" t="inlineStr"/>
      <c r="M61" s="26" t="inlineStr"/>
      <c r="N61" s="4" t="inlineStr">
        <is>
          <t>Nhóm kiểm thử</t>
        </is>
      </c>
      <c r="O61" s="26" t="inlineStr">
        <is>
          <t>03/10/2026</t>
        </is>
      </c>
    </row>
    <row r="62">
      <c r="A62" s="26" t="n">
        <v>58</v>
      </c>
      <c r="B62" s="26" t="inlineStr">
        <is>
          <t>UC6.1-TC004</t>
        </is>
      </c>
      <c r="C62" s="4" t="inlineStr">
        <is>
          <t>QUẢN TRỊ VIÊN / KẾ TOÁN</t>
        </is>
      </c>
      <c r="D62" s="4" t="inlineStr">
        <is>
          <t>UC6.1 Quản lý thông tin bác sĩ</t>
        </is>
      </c>
      <c r="E62" s="4" t="inlineStr">
        <is>
          <t>Cập nhật chuyên khoa của bác sĩ</t>
        </is>
      </c>
      <c r="F62" s="4" t="inlineStr">
        <is>
          <t>Ứng dụng đang chạy; dữ liệu mẫu đã nạp</t>
        </is>
      </c>
      <c r="G62" s="4" t="inlineStr">
        <is>
          <t>1. Nhấn "Chỉnh sửa" tại bác sĩ vừa tạo  → Form cập nhật hiển thị
2. Sửa Chuyên khoa
3. Nhấn "Lưu cập nhật"  → Hiển thị thông báo thành công</t>
        </is>
      </c>
      <c r="H62" s="4" t="inlineStr">
        <is>
          <t>BS. Kiểm Thử 106379
Ngoại khoa</t>
        </is>
      </c>
      <c r="I62" s="4" t="inlineStr">
        <is>
          <t>Hiển thị "Đã cập nhật bác sĩ"</t>
        </is>
      </c>
      <c r="J62" s="4" t="inlineStr">
        <is>
          <t>Cập nhật thành công</t>
        </is>
      </c>
      <c r="K62" s="26" t="inlineStr">
        <is>
          <t>Pass</t>
        </is>
      </c>
      <c r="L62" s="26" t="inlineStr"/>
      <c r="M62" s="26" t="inlineStr"/>
      <c r="N62" s="4" t="inlineStr">
        <is>
          <t>Nhóm kiểm thử</t>
        </is>
      </c>
      <c r="O62" s="26" t="inlineStr">
        <is>
          <t>03/10/2026</t>
        </is>
      </c>
    </row>
    <row r="63">
      <c r="A63" s="26" t="n">
        <v>59</v>
      </c>
      <c r="B63" s="26" t="inlineStr">
        <is>
          <t>UC6.1-TC005</t>
        </is>
      </c>
      <c r="C63" s="4" t="inlineStr">
        <is>
          <t>QUẢN TRỊ VIÊN / KẾ TOÁN</t>
        </is>
      </c>
      <c r="D63" s="4" t="inlineStr">
        <is>
          <t>UC6.1 Quản lý thông tin bác sĩ</t>
        </is>
      </c>
      <c r="E63" s="4" t="inlineStr">
        <is>
          <t>Đổi trạng thái nhận lịch của bác sĩ</t>
        </is>
      </c>
      <c r="F63" s="4" t="inlineStr">
        <is>
          <t>Ứng dụng đang chạy; dữ liệu mẫu đã nạp</t>
        </is>
      </c>
      <c r="G63" s="4" t="inlineStr">
        <is>
          <t>1. Nhấn "Đặt bận" tại bác sĩ vừa tạo  → Trạng thái nhận lịch thay đổi</t>
        </is>
      </c>
      <c r="H63" s="4" t="inlineStr">
        <is>
          <t>BS. Kiểm Thử 106379</t>
        </is>
      </c>
      <c r="I63" s="4" t="inlineStr">
        <is>
          <t>Hiển thị "Đã cập nhật trạng thái nhận lịch", nút đổi thành "Đặt sẵn sàng"</t>
        </is>
      </c>
      <c r="J63" s="4" t="inlineStr">
        <is>
          <t>Trạng thái đổi thành bận</t>
        </is>
      </c>
      <c r="K63" s="26" t="inlineStr">
        <is>
          <t>Pass</t>
        </is>
      </c>
      <c r="L63" s="26" t="inlineStr"/>
      <c r="M63" s="26" t="inlineStr"/>
      <c r="N63" s="4" t="inlineStr">
        <is>
          <t>Nhóm kiểm thử</t>
        </is>
      </c>
      <c r="O63" s="26" t="inlineStr">
        <is>
          <t>03/10/2026</t>
        </is>
      </c>
    </row>
    <row r="64">
      <c r="A64" s="26" t="n">
        <v>60</v>
      </c>
      <c r="B64" s="26" t="inlineStr">
        <is>
          <t>UC6.1-TC006</t>
        </is>
      </c>
      <c r="C64" s="4" t="inlineStr">
        <is>
          <t>QUẢN TRỊ VIÊN / KẾ TOÁN</t>
        </is>
      </c>
      <c r="D64" s="4" t="inlineStr">
        <is>
          <t>UC6.1 Quản lý thông tin bác sĩ</t>
        </is>
      </c>
      <c r="E64" s="4" t="inlineStr">
        <is>
          <t>Tìm bác sĩ theo chuyên khoa</t>
        </is>
      </c>
      <c r="F64" s="4" t="inlineStr">
        <is>
          <t>Ứng dụng đang chạy; dữ liệu mẫu đã nạp</t>
        </is>
      </c>
      <c r="G64" s="4" t="inlineStr">
        <is>
          <t>1. Nhập chuyên khoa vào ô tìm kiếm  → Danh sách được lọc</t>
        </is>
      </c>
      <c r="H64" s="4" t="inlineStr">
        <is>
          <t>Ngoại khoa</t>
        </is>
      </c>
      <c r="I64" s="4" t="inlineStr">
        <is>
          <t>Danh sách chỉ gồm bác sĩ có chuyên khoa "Ngoại khoa"</t>
        </is>
      </c>
      <c r="J64" s="4" t="inlineStr">
        <is>
          <t>Hiển thị BS. Kiểm Thử 085746</t>
        </is>
      </c>
      <c r="K64" s="26" t="inlineStr">
        <is>
          <t>Pass</t>
        </is>
      </c>
      <c r="L64" s="26" t="inlineStr"/>
      <c r="M64" s="26" t="inlineStr"/>
      <c r="N64" s="4" t="inlineStr">
        <is>
          <t>Nhóm kiểm thử</t>
        </is>
      </c>
      <c r="O64" s="26" t="inlineStr">
        <is>
          <t>03/10/2026</t>
        </is>
      </c>
    </row>
    <row r="65">
      <c r="A65" s="26" t="n">
        <v>61</v>
      </c>
      <c r="B65" s="26" t="inlineStr">
        <is>
          <t>UC4.1-TC001</t>
        </is>
      </c>
      <c r="C65" s="4" t="inlineStr">
        <is>
          <t>QUẢN TRỊ VIÊN / KẾ TOÁN</t>
        </is>
      </c>
      <c r="D65" s="4" t="inlineStr">
        <is>
          <t>UC4.1 Nhập kho thuốc / vật tư</t>
        </is>
      </c>
      <c r="E65" s="4" t="inlineStr">
        <is>
          <t>Bỏ trống các trường bắt buộc</t>
        </is>
      </c>
      <c r="F65" s="4" t="inlineStr">
        <is>
          <t>Ứng dụng đang chạy; dữ liệu mẫu đã nạp</t>
        </is>
      </c>
      <c r="G65" s="4" t="inlineStr">
        <is>
          <t>1. Chọn "Thêm vật tư"  → Form thêm vật tư hiển thị
2. Không nhập dữ liệu, nhấn "Lưu vật tư"  → Hiển thị thông báo lỗi</t>
        </is>
      </c>
      <c r="H65" s="4" t="inlineStr"/>
      <c r="I65" s="4" t="inlineStr">
        <is>
          <t>Hiển thị lỗi "Mã vật tư là bắt buộc", "Tên vật tư là bắt buộc", "Danh mục là bắt buộc", "Đơn vị là bắt buộc", "Giá là bắt buộc"</t>
        </is>
      </c>
      <c r="J65" s="4" t="inlineStr">
        <is>
          <t>Form không lưu, nhưng thiếu thông báo: "Giá là bắt buộc"</t>
        </is>
      </c>
      <c r="K65" s="26" t="inlineStr">
        <is>
          <t>Fail</t>
        </is>
      </c>
      <c r="L65" s="26" t="inlineStr">
        <is>
          <t>Thấp</t>
        </is>
      </c>
      <c r="M65" s="26" t="inlineStr">
        <is>
          <t>BUG-023</t>
        </is>
      </c>
      <c r="N65" s="4" t="inlineStr">
        <is>
          <t>Nhóm kiểm thử</t>
        </is>
      </c>
      <c r="O65" s="26" t="inlineStr">
        <is>
          <t>03/10/2026</t>
        </is>
      </c>
    </row>
    <row r="66">
      <c r="A66" s="26" t="n">
        <v>62</v>
      </c>
      <c r="B66" s="26" t="inlineStr">
        <is>
          <t>UC4.1-TC002</t>
        </is>
      </c>
      <c r="C66" s="4" t="inlineStr">
        <is>
          <t>QUẢN TRỊ VIÊN / KẾ TOÁN</t>
        </is>
      </c>
      <c r="D66" s="4" t="inlineStr">
        <is>
          <t>UC4.1 Nhập kho thuốc / vật tư</t>
        </is>
      </c>
      <c r="E66" s="4" t="inlineStr">
        <is>
          <t>Kiểm thử giá trị biên: Tồn kho âm</t>
        </is>
      </c>
      <c r="F66" s="4" t="inlineStr">
        <is>
          <t>Ứng dụng đang chạy; dữ liệu mẫu đã nạp</t>
        </is>
      </c>
      <c r="G66" s="4" t="inlineStr">
        <is>
          <t>1. Chọn "Thêm vật tư"  → Form hiển thị
2. Nhập thông tin hợp lệ
3. Nhập Tồn kho âm
4. Nhấn "Lưu vật tư"  → Hiển thị thông báo lỗi</t>
        </is>
      </c>
      <c r="H66" s="4" t="inlineStr">
        <is>
          <t>TEST-NEG / Thuốc thử / Thuốc / Hộp / 50000
-5</t>
        </is>
      </c>
      <c r="I66" s="4" t="inlineStr">
        <is>
          <t>Hiển thị lỗi "Tồn kho không hợp lệ"</t>
        </is>
      </c>
      <c r="J66" s="4" t="inlineStr">
        <is>
          <t>Trình duyệt chặn: "Giá trị phải lớn hơn hoặc bằng 0."</t>
        </is>
      </c>
      <c r="K66" s="26" t="inlineStr">
        <is>
          <t>Pass</t>
        </is>
      </c>
      <c r="L66" s="26" t="inlineStr"/>
      <c r="M66" s="26" t="inlineStr"/>
      <c r="N66" s="4" t="inlineStr">
        <is>
          <t>Nhóm kiểm thử</t>
        </is>
      </c>
      <c r="O66" s="26" t="inlineStr">
        <is>
          <t>03/10/2026</t>
        </is>
      </c>
    </row>
    <row r="67">
      <c r="A67" s="26" t="n">
        <v>63</v>
      </c>
      <c r="B67" s="26" t="inlineStr">
        <is>
          <t>UC4.1-TC003</t>
        </is>
      </c>
      <c r="C67" s="4" t="inlineStr">
        <is>
          <t>QUẢN TRỊ VIÊN / KẾ TOÁN</t>
        </is>
      </c>
      <c r="D67" s="4" t="inlineStr">
        <is>
          <t>UC4.1 Nhập kho thuốc / vật tư</t>
        </is>
      </c>
      <c r="E67" s="4" t="inlineStr">
        <is>
          <t>Thêm vật tư hợp lệ kèm hạn sử dụng</t>
        </is>
      </c>
      <c r="F67" s="4" t="inlineStr">
        <is>
          <t>Ứng dụng đang chạy; dữ liệu mẫu đã nạp</t>
        </is>
      </c>
      <c r="G67" s="4" t="inlineStr">
        <is>
          <t>1. Chọn "Thêm vật tư"  → Form hiển thị
2. Nhập Mã, Tên
3. Chọn Danh mục, nhập Đơn vị
4. Nhập Tồn kho, Tồn tối thiểu, Giá
5. Nhập Hạn sử dụng
6. Nhấn "Lưu vật tư"  → Hiển thị thông báo thành công</t>
        </is>
      </c>
      <c r="H67" s="4" t="inlineStr">
        <is>
          <t>MED-106379 / Amoxicillin KT 106379
Thuốc / Hộp
20 / 5 / 45000
2027-04-01</t>
        </is>
      </c>
      <c r="I67" s="4" t="inlineStr">
        <is>
          <t>Hiển thị "Thêm vật tư thành công", lô hàng được tạo kèm hạn dùng</t>
        </is>
      </c>
      <c r="J67" s="4" t="inlineStr">
        <is>
          <t>Thêm vật tư thành công, 1 lô hàng được tạo</t>
        </is>
      </c>
      <c r="K67" s="26" t="inlineStr">
        <is>
          <t>Pass</t>
        </is>
      </c>
      <c r="L67" s="26" t="inlineStr"/>
      <c r="M67" s="26" t="inlineStr"/>
      <c r="N67" s="4" t="inlineStr">
        <is>
          <t>Nhóm kiểm thử</t>
        </is>
      </c>
      <c r="O67" s="26" t="inlineStr">
        <is>
          <t>03/10/2026</t>
        </is>
      </c>
    </row>
    <row r="68">
      <c r="A68" s="26" t="n">
        <v>64</v>
      </c>
      <c r="B68" s="26" t="inlineStr">
        <is>
          <t>UC4.1-TC004</t>
        </is>
      </c>
      <c r="C68" s="4" t="inlineStr">
        <is>
          <t>QUẢN TRỊ VIÊN / KẾ TOÁN</t>
        </is>
      </c>
      <c r="D68" s="4" t="inlineStr">
        <is>
          <t>UC4.1 Nhập kho thuốc / vật tư</t>
        </is>
      </c>
      <c r="E68" s="4" t="inlineStr">
        <is>
          <t>Mã vật tư trùng với vật tư đã có</t>
        </is>
      </c>
      <c r="F68" s="4" t="inlineStr">
        <is>
          <t>Ứng dụng đang chạy; dữ liệu mẫu đã nạp</t>
        </is>
      </c>
      <c r="G68" s="4" t="inlineStr">
        <is>
          <t>1. Chọn "Thêm vật tư"  → Form hiển thị
2. Nhập Mã vật tư đã dùng ở TC003
3. Nhập các trường còn lại hợp lệ, nhấn "Lưu vật tư"  → Hiển thị thông báo lỗi</t>
        </is>
      </c>
      <c r="H68" s="4" t="inlineStr">
        <is>
          <t>MED-106379
Thuốc trùng mã / Thuốc / Hộp / 10 / 1000</t>
        </is>
      </c>
      <c r="I68" s="4" t="inlineStr">
        <is>
          <t>Hệ thống báo mã vật tư đã tồn tại, không tạo vật tư mới</t>
        </is>
      </c>
      <c r="J68" s="4" t="inlineStr">
        <is>
          <t>Vẫn tạo vật tư thứ hai có mã MED-085746</t>
        </is>
      </c>
      <c r="K68" s="26" t="inlineStr">
        <is>
          <t>Fail</t>
        </is>
      </c>
      <c r="L68" s="26" t="inlineStr">
        <is>
          <t>Trung bình</t>
        </is>
      </c>
      <c r="M68" s="26" t="inlineStr">
        <is>
          <t>BUG-014</t>
        </is>
      </c>
      <c r="N68" s="4" t="inlineStr">
        <is>
          <t>Nhóm kiểm thử</t>
        </is>
      </c>
      <c r="O68" s="26" t="inlineStr">
        <is>
          <t>03/10/2026</t>
        </is>
      </c>
    </row>
    <row r="69">
      <c r="A69" s="26" t="n">
        <v>65</v>
      </c>
      <c r="B69" s="26" t="inlineStr">
        <is>
          <t>UC4.3-TC001</t>
        </is>
      </c>
      <c r="C69" s="4" t="inlineStr">
        <is>
          <t>QUẢN TRỊ VIÊN / KẾ TOÁN</t>
        </is>
      </c>
      <c r="D69" s="4" t="inlineStr">
        <is>
          <t>UC4.3 Cảnh báo tồn kho thấp</t>
        </is>
      </c>
      <c r="E69" s="4" t="inlineStr">
        <is>
          <t>Vật tư có tồn kho dưới mức tối thiểu</t>
        </is>
      </c>
      <c r="F69" s="4" t="inlineStr">
        <is>
          <t>Ứng dụng đang chạy; dữ liệu mẫu đã nạp</t>
        </is>
      </c>
      <c r="G69" s="4" t="inlineStr">
        <is>
          <t>1. Thêm vật tư có Tồn kho 3, Tồn tối thiểu 10  → Vật tư được lưu
2. Quan sát trang Kho thuốc  → Hiển thị cảnh báo</t>
        </is>
      </c>
      <c r="H69" s="4" t="inlineStr">
        <is>
          <t>LOW-106379</t>
        </is>
      </c>
      <c r="I69" s="4" t="inlineStr">
        <is>
          <t>Số mặt hàng trong khung "Cảnh báo tồn kho thấp" tăng thêm 1 so với trước khi thêm</t>
        </is>
      </c>
      <c r="J69" s="4" t="inlineStr">
        <is>
          <t>Cảnh báo tăng từ 5 lên 6 mặt hàng</t>
        </is>
      </c>
      <c r="K69" s="26" t="inlineStr">
        <is>
          <t>Pass</t>
        </is>
      </c>
      <c r="L69" s="26" t="inlineStr"/>
      <c r="M69" s="26" t="inlineStr"/>
      <c r="N69" s="4" t="inlineStr">
        <is>
          <t>Nhóm kiểm thử</t>
        </is>
      </c>
      <c r="O69" s="26" t="inlineStr">
        <is>
          <t>03/10/2026</t>
        </is>
      </c>
    </row>
    <row r="70">
      <c r="A70" s="26" t="n">
        <v>66</v>
      </c>
      <c r="B70" s="26" t="inlineStr">
        <is>
          <t>UC4.3-TC002</t>
        </is>
      </c>
      <c r="C70" s="4" t="inlineStr">
        <is>
          <t>QUẢN TRỊ VIÊN / KẾ TOÁN</t>
        </is>
      </c>
      <c r="D70" s="4" t="inlineStr">
        <is>
          <t>UC4.3 Cảnh báo tồn kho thấp</t>
        </is>
      </c>
      <c r="E70" s="4" t="inlineStr">
        <is>
          <t>Xem danh sách mặt hàng sắp hết</t>
        </is>
      </c>
      <c r="F70" s="4" t="inlineStr">
        <is>
          <t>Ứng dụng đang chạy; dữ liệu mẫu đã nạp</t>
        </is>
      </c>
      <c r="G70" s="4" t="inlineStr">
        <is>
          <t>1. Truy cập Kho thuốc  → Khung cảnh báo tồn kho thấp hiển thị
2. Nhấn "Xem mặt hàng sắp hết"  → Danh sách chỉ còn mặt hàng sắp hết</t>
        </is>
      </c>
      <c r="H70" s="4" t="inlineStr"/>
      <c r="I70" s="4" t="inlineStr">
        <is>
          <t>Danh sách gồm 4 mặt hàng mẫu sắp hết (Doxycycline, Thuốc nhỏ mắt, Vaccine mèo 4 bệnh, Ống truyền dịch) và vật tư thêm ở TC001; không có mặt hàng đủ tồn (Rabies Vaccine)</t>
        </is>
      </c>
      <c r="J70" s="4" t="inlineStr">
        <is>
          <t>Hiển thị đúng các mặt hàng sắp hết</t>
        </is>
      </c>
      <c r="K70" s="26" t="inlineStr">
        <is>
          <t>Pass</t>
        </is>
      </c>
      <c r="L70" s="26" t="inlineStr"/>
      <c r="M70" s="26" t="inlineStr"/>
      <c r="N70" s="4" t="inlineStr">
        <is>
          <t>Nhóm kiểm thử</t>
        </is>
      </c>
      <c r="O70" s="26" t="inlineStr">
        <is>
          <t>03/10/2026</t>
        </is>
      </c>
    </row>
    <row r="71">
      <c r="A71" s="26" t="n">
        <v>67</v>
      </c>
      <c r="B71" s="26" t="inlineStr">
        <is>
          <t>UC5.1-TC001</t>
        </is>
      </c>
      <c r="C71" s="4" t="inlineStr">
        <is>
          <t>QUẢN TRỊ VIÊN / KẾ TOÁN</t>
        </is>
      </c>
      <c r="D71" s="4" t="inlineStr">
        <is>
          <t>UC5.1 Tạo hóa đơn bán thuốc</t>
        </is>
      </c>
      <c r="E71" s="4" t="inlineStr">
        <is>
          <t>Không chọn khách hàng và thuốc</t>
        </is>
      </c>
      <c r="F71" s="4" t="inlineStr">
        <is>
          <t>Ứng dụng đang chạy; dữ liệu mẫu đã nạp</t>
        </is>
      </c>
      <c r="G71" s="4" t="inlineStr">
        <is>
          <t>1. Chọn "Tạo hóa đơn"  → Form tạo hóa đơn hiển thị
2. Không chọn khách hàng, thuốc; nhấn "Tạo hóa đơn"  → Hiển thị thông báo lỗi</t>
        </is>
      </c>
      <c r="H71" s="4" t="inlineStr"/>
      <c r="I71" s="4" t="inlineStr">
        <is>
          <t>Hiển thị "Vui lòng chọn khách hàng, thuốc và số lượng hợp lệ"</t>
        </is>
      </c>
      <c r="J71" s="4" t="inlineStr">
        <is>
          <t>Hiển thị thông báo lỗi</t>
        </is>
      </c>
      <c r="K71" s="26" t="inlineStr">
        <is>
          <t>Pass</t>
        </is>
      </c>
      <c r="L71" s="26" t="inlineStr"/>
      <c r="M71" s="26" t="inlineStr"/>
      <c r="N71" s="4" t="inlineStr">
        <is>
          <t>Nhóm kiểm thử</t>
        </is>
      </c>
      <c r="O71" s="26" t="inlineStr">
        <is>
          <t>03/10/2026</t>
        </is>
      </c>
    </row>
    <row r="72">
      <c r="A72" s="26" t="n">
        <v>68</v>
      </c>
      <c r="B72" s="26" t="inlineStr">
        <is>
          <t>UC5.1-TC002</t>
        </is>
      </c>
      <c r="C72" s="4" t="inlineStr">
        <is>
          <t>QUẢN TRỊ VIÊN / KẾ TOÁN</t>
        </is>
      </c>
      <c r="D72" s="4" t="inlineStr">
        <is>
          <t>UC5.1 Tạo hóa đơn bán thuốc</t>
        </is>
      </c>
      <c r="E72" s="4" t="inlineStr">
        <is>
          <t>Tạo hóa đơn hợp lệ – tồn kho tự động trừ</t>
        </is>
      </c>
      <c r="F72" s="4" t="inlineStr">
        <is>
          <t>Ứng dụng đang chạy; dữ liệu mẫu đã nạp</t>
        </is>
      </c>
      <c r="G72" s="4" t="inlineStr">
        <is>
          <t>1. Chọn "Tạo hóa đơn"  → Form hiển thị
2. Chọn Khách hàng
3. Chọn Thuốc
4. Nhập Số lượng
5. Nhấn "Tạo hóa đơn"  → Hiển thị thông báo thành công</t>
        </is>
      </c>
      <c r="H72" s="4" t="inlineStr">
        <is>
          <t>Nguyễn Huy
Amoxicillin KT 106379
4</t>
        </is>
      </c>
      <c r="I72" s="4" t="inlineStr">
        <is>
          <t>Hiển thị "Tạo hóa đơn thành công", tồn kho giảm từ 20 xuống 16, tổng tiền 180.000 VND</t>
        </is>
      </c>
      <c r="J72" s="4" t="inlineStr">
        <is>
          <t>Tạo hóa đơn thành công, tồn kho còn 16, tổng 180.000 VND</t>
        </is>
      </c>
      <c r="K72" s="26" t="inlineStr">
        <is>
          <t>Pass</t>
        </is>
      </c>
      <c r="L72" s="26" t="inlineStr"/>
      <c r="M72" s="26" t="inlineStr"/>
      <c r="N72" s="4" t="inlineStr">
        <is>
          <t>Nhóm kiểm thử</t>
        </is>
      </c>
      <c r="O72" s="26" t="inlineStr">
        <is>
          <t>03/10/2026</t>
        </is>
      </c>
    </row>
    <row r="73">
      <c r="A73" s="26" t="n">
        <v>69</v>
      </c>
      <c r="B73" s="26" t="inlineStr">
        <is>
          <t>UC5.1-TC003</t>
        </is>
      </c>
      <c r="C73" s="4" t="inlineStr">
        <is>
          <t>QUẢN TRỊ VIÊN / KẾ TOÁN</t>
        </is>
      </c>
      <c r="D73" s="4" t="inlineStr">
        <is>
          <t>UC5.1 Tạo hóa đơn bán thuốc</t>
        </is>
      </c>
      <c r="E73" s="4" t="inlineStr">
        <is>
          <t>Số lượng bán lớn hơn tồn kho</t>
        </is>
      </c>
      <c r="F73" s="4" t="inlineStr">
        <is>
          <t>Ứng dụng đang chạy; dữ liệu mẫu đã nạp</t>
        </is>
      </c>
      <c r="G73" s="4" t="inlineStr">
        <is>
          <t>1. Chọn "Tạo hóa đơn"  → Form hiển thị
2. Chọn Khách hàng, Thuốc
3. Nhập Số lượng lớn hơn tồn (16)
4. Nhấn "Tạo hóa đơn"  → Hiển thị thông báo lỗi</t>
        </is>
      </c>
      <c r="H73" s="4" t="inlineStr">
        <is>
          <t>Trần Lan / Amoxicillin KT 106379
100</t>
        </is>
      </c>
      <c r="I73" s="4" t="inlineStr">
        <is>
          <t>Hiển thị "Không thể tạo hóa đơn", không phát sinh hóa đơn nào</t>
        </is>
      </c>
      <c r="J73" s="4" t="inlineStr">
        <is>
          <t>Có báo lỗi nhưng vẫn phát sinh 1 hóa đơn rỗng 0 VND ở trạng thái chờ thanh toán</t>
        </is>
      </c>
      <c r="K73" s="26" t="inlineStr">
        <is>
          <t>Fail</t>
        </is>
      </c>
      <c r="L73" s="26" t="inlineStr">
        <is>
          <t>Trung bình</t>
        </is>
      </c>
      <c r="M73" s="26" t="inlineStr">
        <is>
          <t>BUG-015</t>
        </is>
      </c>
      <c r="N73" s="4" t="inlineStr">
        <is>
          <t>Nhóm kiểm thử</t>
        </is>
      </c>
      <c r="O73" s="26" t="inlineStr">
        <is>
          <t>03/10/2026</t>
        </is>
      </c>
    </row>
    <row r="74">
      <c r="A74" s="26" t="n">
        <v>70</v>
      </c>
      <c r="B74" s="26" t="inlineStr">
        <is>
          <t>UC5.2-TC001</t>
        </is>
      </c>
      <c r="C74" s="4" t="inlineStr">
        <is>
          <t>QUẢN TRỊ VIÊN / KẾ TOÁN</t>
        </is>
      </c>
      <c r="D74" s="4" t="inlineStr">
        <is>
          <t>UC5.2 Thanh toán hóa đơn</t>
        </is>
      </c>
      <c r="E74" s="4" t="inlineStr">
        <is>
          <t>Xác nhận đã thu tiền cho hóa đơn chờ thanh toán</t>
        </is>
      </c>
      <c r="F74" s="4" t="inlineStr">
        <is>
          <t>Ứng dụng đang chạy; dữ liệu mẫu đã nạp</t>
        </is>
      </c>
      <c r="G74" s="4" t="inlineStr">
        <is>
          <t>1. Truy cập Hóa đơn  → Danh sách hóa đơn hiển thị
2. Nhấn "Xác nhận đã thu tiền" tại hóa đơn ở TC002  → Trạng thái hóa đơn "Đã thanh toán"</t>
        </is>
      </c>
      <c r="H74" s="4" t="inlineStr">
        <is>
          <t>180.000 VND</t>
        </is>
      </c>
      <c r="I74" s="4" t="inlineStr">
        <is>
          <t>Hiển thị "Thanh toán thành công", hóa đơn chuyển trạng thái đã thanh toán</t>
        </is>
      </c>
      <c r="J74" s="4" t="inlineStr">
        <is>
          <t>Thanh toán thành công, trạng thái paid</t>
        </is>
      </c>
      <c r="K74" s="26" t="inlineStr">
        <is>
          <t>Pass</t>
        </is>
      </c>
      <c r="L74" s="26" t="inlineStr"/>
      <c r="M74" s="26" t="inlineStr"/>
      <c r="N74" s="4" t="inlineStr">
        <is>
          <t>Nhóm kiểm thử</t>
        </is>
      </c>
      <c r="O74" s="26" t="inlineStr">
        <is>
          <t>03/10/2026</t>
        </is>
      </c>
    </row>
    <row r="75">
      <c r="A75" s="26" t="n">
        <v>71</v>
      </c>
      <c r="B75" s="26" t="inlineStr">
        <is>
          <t>UC5.2-TC002</t>
        </is>
      </c>
      <c r="C75" s="4" t="inlineStr">
        <is>
          <t>QUẢN TRỊ VIÊN / KẾ TOÁN</t>
        </is>
      </c>
      <c r="D75" s="4" t="inlineStr">
        <is>
          <t>UC5.2 Thanh toán hóa đơn</t>
        </is>
      </c>
      <c r="E75" s="4" t="inlineStr">
        <is>
          <t>Tìm hóa đơn theo mã hóa đơn</t>
        </is>
      </c>
      <c r="F75" s="4" t="inlineStr">
        <is>
          <t>Ứng dụng đang chạy; dữ liệu mẫu đã nạp</t>
        </is>
      </c>
      <c r="G75" s="4" t="inlineStr">
        <is>
          <t>1. Nhập mã hóa đơn vào ô tìm kiếm  → Danh sách được lọc</t>
        </is>
      </c>
      <c r="H75" s="4" t="inlineStr">
        <is>
          <t>INV-2026-0020</t>
        </is>
      </c>
      <c r="I75" s="4" t="inlineStr">
        <is>
          <t>Chỉ hiển thị 1 hóa đơn INV-2026-0020</t>
        </is>
      </c>
      <c r="J75" s="4" t="inlineStr">
        <is>
          <t>Hiển thị đúng 1 hóa đơn</t>
        </is>
      </c>
      <c r="K75" s="26" t="inlineStr">
        <is>
          <t>Pass</t>
        </is>
      </c>
      <c r="L75" s="26" t="inlineStr"/>
      <c r="M75" s="26" t="inlineStr"/>
      <c r="N75" s="4" t="inlineStr">
        <is>
          <t>Nhóm kiểm thử</t>
        </is>
      </c>
      <c r="O75" s="26" t="inlineStr">
        <is>
          <t>03/10/2026</t>
        </is>
      </c>
    </row>
    <row r="76">
      <c r="A76" s="26" t="n">
        <v>72</v>
      </c>
      <c r="B76" s="26" t="inlineStr">
        <is>
          <t>UC5.2-TC003</t>
        </is>
      </c>
      <c r="C76" s="4" t="inlineStr">
        <is>
          <t>QUẢN TRỊ VIÊN / KẾ TOÁN</t>
        </is>
      </c>
      <c r="D76" s="4" t="inlineStr">
        <is>
          <t>UC5.2 Thanh toán hóa đơn</t>
        </is>
      </c>
      <c r="E76" s="4" t="inlineStr">
        <is>
          <t>Tìm hóa đơn theo trạng thái "Quá hạn"</t>
        </is>
      </c>
      <c r="F76" s="4" t="inlineStr">
        <is>
          <t>Ứng dụng đang chạy; dữ liệu mẫu đã nạp</t>
        </is>
      </c>
      <c r="G76" s="4" t="inlineStr">
        <is>
          <t>1. Nhập trạng thái hiển thị trên giao diện vào ô tìm kiếm  → Danh sách được lọc</t>
        </is>
      </c>
      <c r="H76" s="4" t="inlineStr">
        <is>
          <t>Quá hạn</t>
        </is>
      </c>
      <c r="I76" s="4" t="inlineStr">
        <is>
          <t>Hiển thị 5 hóa đơn mẫu có trạng thái "Quá hạn" (ô tìm kiếm ghi "Tìm theo mã, khách hàng, trạng thái")</t>
        </is>
      </c>
      <c r="J76" s="4" t="inlineStr">
        <is>
          <t>Hiển thị 0 hóa đơn – bộ lọc chỉ so khớp mã trạng thái tiếng Anh (overdue), không khớp nhãn tiếng Việt</t>
        </is>
      </c>
      <c r="K76" s="26" t="inlineStr">
        <is>
          <t>Fail</t>
        </is>
      </c>
      <c r="L76" s="26" t="inlineStr">
        <is>
          <t>Thấp</t>
        </is>
      </c>
      <c r="M76" s="26" t="inlineStr">
        <is>
          <t>BUG-024</t>
        </is>
      </c>
      <c r="N76" s="4" t="inlineStr">
        <is>
          <t>Nhóm kiểm thử</t>
        </is>
      </c>
      <c r="O76" s="26" t="inlineStr">
        <is>
          <t>03/10/2026</t>
        </is>
      </c>
    </row>
    <row r="77">
      <c r="A77" s="26" t="n">
        <v>73</v>
      </c>
      <c r="B77" s="26" t="inlineStr">
        <is>
          <t>UC7.2-TC001</t>
        </is>
      </c>
      <c r="C77" s="4" t="inlineStr">
        <is>
          <t>QUẢN TRỊ VIÊN / KẾ TOÁN</t>
        </is>
      </c>
      <c r="D77" s="4" t="inlineStr">
        <is>
          <t>UC7.2 Báo cáo doanh thu</t>
        </is>
      </c>
      <c r="E77" s="4" t="inlineStr">
        <is>
          <t>Doanh thu trên Tổng quan khớp dữ liệu hóa đơn</t>
        </is>
      </c>
      <c r="F77" s="4" t="inlineStr">
        <is>
          <t>Ứng dụng đang chạy; dữ liệu mẫu đã nạp</t>
        </is>
      </c>
      <c r="G77" s="4" t="inlineStr">
        <is>
          <t>1. Truy cập trang Tổng quan  → Thẻ "Tổng doanh thu" hiển thị
2. So sánh với tổng hóa đơn đã thanh toán  → Hai giá trị bằng nhau</t>
        </is>
      </c>
      <c r="H77" s="4" t="inlineStr"/>
      <c r="I77" s="4" t="inlineStr">
        <is>
          <t>Tổng doanh thu hiển thị bằng tổng tiền các hóa đơn đã thanh toán</t>
        </is>
      </c>
      <c r="J77" s="4" t="inlineStr">
        <is>
          <t>Tổng doanh thu 12.905.500 VND khớp dữ liệu</t>
        </is>
      </c>
      <c r="K77" s="26" t="inlineStr">
        <is>
          <t>Pass</t>
        </is>
      </c>
      <c r="L77" s="26" t="inlineStr"/>
      <c r="M77" s="26" t="inlineStr"/>
      <c r="N77" s="4" t="inlineStr">
        <is>
          <t>Nhóm kiểm thử</t>
        </is>
      </c>
      <c r="O77" s="26" t="inlineStr">
        <is>
          <t>03/10/2026</t>
        </is>
      </c>
    </row>
    <row r="78">
      <c r="A78" s="26" t="n">
        <v>74</v>
      </c>
      <c r="B78" s="26" t="inlineStr">
        <is>
          <t>UC7.2-TC002</t>
        </is>
      </c>
      <c r="C78" s="4" t="inlineStr">
        <is>
          <t>QUẢN TRỊ VIÊN / KẾ TOÁN</t>
        </is>
      </c>
      <c r="D78" s="4" t="inlineStr">
        <is>
          <t>UC7.2 Báo cáo doanh thu</t>
        </is>
      </c>
      <c r="E78" s="4" t="inlineStr">
        <is>
          <t>Thẻ "Số đơn hàng" và "Mặt hàng thuốc" khớp dữ liệu</t>
        </is>
      </c>
      <c r="F78" s="4" t="inlineStr">
        <is>
          <t>Ứng dụng đang chạy; dữ liệu mẫu đã nạp</t>
        </is>
      </c>
      <c r="G78" s="4" t="inlineStr">
        <is>
          <t>1. Truy cập trang Tổng quan  → Các thẻ thống kê hiển thị
2. So sánh với số hóa đơn và số vật tư trong CSDL  → Giá trị bằng nhau</t>
        </is>
      </c>
      <c r="H78" s="4" t="inlineStr">
        <is>
          <t>≥ 60 hóa đơn, ≥ 30 vật tư</t>
        </is>
      </c>
      <c r="I78" s="4" t="inlineStr">
        <is>
          <t>"Số đơn hàng" = tổng số hóa đơn; "Mặt hàng thuốc" = tổng số vật tư trong kho</t>
        </is>
      </c>
      <c r="J78" s="4" t="inlineStr">
        <is>
          <t>Số đơn hàng 62, mặt hàng thuốc 33 – khớp dữ liệu</t>
        </is>
      </c>
      <c r="K78" s="26" t="inlineStr">
        <is>
          <t>Pass</t>
        </is>
      </c>
      <c r="L78" s="26" t="inlineStr"/>
      <c r="M78" s="26" t="inlineStr"/>
      <c r="N78" s="4" t="inlineStr">
        <is>
          <t>Nhóm kiểm thử</t>
        </is>
      </c>
      <c r="O78" s="26" t="inlineStr">
        <is>
          <t>03/10/2026</t>
        </is>
      </c>
    </row>
  </sheetData>
  <autoFilter ref="A4:O78"/>
  <conditionalFormatting sqref="K5:K78">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K5:K78" showDropDown="0" showInputMessage="0" showErrorMessage="0" allowBlank="1" errorTitle="Trạng thái không hợp lệ" error="Chỉ chọn Pass, Fail, Blocked hoặc Not Run"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34" customWidth="1" min="4" max="4"/>
    <col width="60" customWidth="1" min="5" max="5"/>
    <col width="45" customWidth="1" min="6" max="6"/>
    <col width="11" customWidth="1" min="7" max="7"/>
    <col width="10" customWidth="1" min="8" max="8"/>
    <col width="14" customWidth="1" min="9" max="9"/>
    <col width="11" customWidth="1" min="10" max="10"/>
  </cols>
  <sheetData>
    <row r="1">
      <c r="A1" s="1" t="inlineStr">
        <is>
          <t>KIỂM THỬ ĐƠN VỊ (UNIT TEST)</t>
        </is>
      </c>
    </row>
    <row r="2">
      <c r="A2" s="2" t="inlineStr">
        <is>
          <t>Công cụ: Mocha + tsx + node:assert. Lệnh chạy: npm run test:unit (thư mục pet-pttkpm).</t>
        </is>
      </c>
    </row>
    <row r="4" ht="32" customHeight="1">
      <c r="A4" s="16" t="inlineStr">
        <is>
          <t>STT</t>
        </is>
      </c>
      <c r="B4" s="16" t="inlineStr">
        <is>
          <t>Mã UT</t>
        </is>
      </c>
      <c r="C4" s="16" t="inlineStr">
        <is>
          <t>File test</t>
        </is>
      </c>
      <c r="D4" s="16" t="inlineStr">
        <is>
          <t>Đối tượng được test</t>
        </is>
      </c>
      <c r="E4" s="16" t="inlineStr">
        <is>
          <t>Nội dung kiểm tra (kết quả mong đợi)</t>
        </is>
      </c>
      <c r="F4" s="16" t="inlineStr">
        <is>
          <t>Kết quả thực tế</t>
        </is>
      </c>
      <c r="G4" s="16" t="inlineStr">
        <is>
          <t>Trạng thái</t>
        </is>
      </c>
      <c r="H4" s="16" t="inlineStr">
        <is>
          <t>Mã lỗi</t>
        </is>
      </c>
      <c r="I4" s="16" t="inlineStr">
        <is>
          <t>Người test</t>
        </is>
      </c>
      <c r="J4" s="16" t="inlineStr">
        <is>
          <t>Ngày test</t>
        </is>
      </c>
    </row>
    <row r="5">
      <c r="A5" s="26" t="n">
        <v>1</v>
      </c>
      <c r="B5" s="26" t="inlineStr">
        <is>
          <t>UT-SCH-01</t>
        </is>
      </c>
      <c r="C5" s="4" t="inlineStr">
        <is>
          <t>tests/unit/schema.test.ts</t>
        </is>
      </c>
      <c r="D5" s="4" t="inlineStr">
        <is>
          <t>shared/schema.ts – insertCustomerSchema</t>
        </is>
      </c>
      <c r="E5" s="4" t="inlineStr">
        <is>
          <t>chấp nhận dữ liệu khách hàng hợp lệ và gán isActive mặc định = true</t>
        </is>
      </c>
      <c r="F5" s="4" t="inlineStr">
        <is>
          <t>Đúng như mong đợi</t>
        </is>
      </c>
      <c r="G5" s="26" t="inlineStr">
        <is>
          <t>Pass</t>
        </is>
      </c>
      <c r="H5" s="26" t="inlineStr"/>
      <c r="I5" s="4" t="inlineStr">
        <is>
          <t>Nhóm kiểm thử</t>
        </is>
      </c>
      <c r="J5" s="26" t="inlineStr">
        <is>
          <t>03/10/2026</t>
        </is>
      </c>
    </row>
    <row r="6">
      <c r="A6" s="26" t="n">
        <v>2</v>
      </c>
      <c r="B6" s="26" t="inlineStr">
        <is>
          <t>UT-SCH-02</t>
        </is>
      </c>
      <c r="C6" s="4" t="inlineStr">
        <is>
          <t>tests/unit/schema.test.ts</t>
        </is>
      </c>
      <c r="D6" s="4" t="inlineStr">
        <is>
          <t>shared/schema.ts – insertCustomerSchema</t>
        </is>
      </c>
      <c r="E6" s="4" t="inlineStr">
        <is>
          <t>từ chối email sai định dạng</t>
        </is>
      </c>
      <c r="F6" s="4" t="inlineStr">
        <is>
          <t>Đúng như mong đợi</t>
        </is>
      </c>
      <c r="G6" s="26" t="inlineStr">
        <is>
          <t>Pass</t>
        </is>
      </c>
      <c r="H6" s="26" t="inlineStr"/>
      <c r="I6" s="4" t="inlineStr">
        <is>
          <t>Nhóm kiểm thử</t>
        </is>
      </c>
      <c r="J6" s="26" t="inlineStr">
        <is>
          <t>03/10/2026</t>
        </is>
      </c>
    </row>
    <row r="7">
      <c r="A7" s="26" t="n">
        <v>3</v>
      </c>
      <c r="B7" s="26" t="inlineStr">
        <is>
          <t>UT-SCH-03</t>
        </is>
      </c>
      <c r="C7" s="4" t="inlineStr">
        <is>
          <t>tests/unit/schema.test.ts</t>
        </is>
      </c>
      <c r="D7" s="4" t="inlineStr">
        <is>
          <t>shared/schema.ts – insertCustomerSchema</t>
        </is>
      </c>
      <c r="E7" s="4" t="inlineStr">
        <is>
          <t>từ chối họ tên rỗng</t>
        </is>
      </c>
      <c r="F7" s="4" t="inlineStr">
        <is>
          <t>Đúng như mong đợi</t>
        </is>
      </c>
      <c r="G7" s="26" t="inlineStr">
        <is>
          <t>Pass</t>
        </is>
      </c>
      <c r="H7" s="26" t="inlineStr"/>
      <c r="I7" s="4" t="inlineStr">
        <is>
          <t>Nhóm kiểm thử</t>
        </is>
      </c>
      <c r="J7" s="26" t="inlineStr">
        <is>
          <t>03/10/2026</t>
        </is>
      </c>
    </row>
    <row r="8">
      <c r="A8" s="26" t="n">
        <v>4</v>
      </c>
      <c r="B8" s="26" t="inlineStr">
        <is>
          <t>UT-SCH-04</t>
        </is>
      </c>
      <c r="C8" s="4" t="inlineStr">
        <is>
          <t>tests/unit/schema.test.ts</t>
        </is>
      </c>
      <c r="D8" s="4" t="inlineStr">
        <is>
          <t>shared/schema.ts – insertCustomerSchema</t>
        </is>
      </c>
      <c r="E8" s="4" t="inlineStr">
        <is>
          <t>chấp nhận địa chỉ rỗng vì đây là trường không bắt buộc</t>
        </is>
      </c>
      <c r="F8" s="4" t="inlineStr">
        <is>
          <t>address = "" bị từ chối: String must contain at least 1 character(s)</t>
        </is>
      </c>
      <c r="G8" s="26" t="inlineStr">
        <is>
          <t>Fail</t>
        </is>
      </c>
      <c r="H8" s="26" t="inlineStr">
        <is>
          <t>BUG-002</t>
        </is>
      </c>
      <c r="I8" s="4" t="inlineStr">
        <is>
          <t>Nhóm kiểm thử</t>
        </is>
      </c>
      <c r="J8" s="26" t="inlineStr">
        <is>
          <t>03/10/2026</t>
        </is>
      </c>
    </row>
    <row r="9">
      <c r="A9" s="26" t="n">
        <v>5</v>
      </c>
      <c r="B9" s="26" t="inlineStr">
        <is>
          <t>UT-SCH-05</t>
        </is>
      </c>
      <c r="C9" s="4" t="inlineStr">
        <is>
          <t>tests/unit/schema.test.ts</t>
        </is>
      </c>
      <c r="D9" s="4" t="inlineStr">
        <is>
          <t>shared/schema.ts – insertCustomerSchema</t>
        </is>
      </c>
      <c r="E9" s="4" t="inlineStr">
        <is>
          <t>từ chối số điện thoại không đủ 10 chữ số (quy tắc nghiệp vụ UC1.1)</t>
        </is>
      </c>
      <c r="F9" s="4" t="inlineStr">
        <is>
          <t>Schema phía server chấp nhận SĐT "123"</t>
        </is>
      </c>
      <c r="G9" s="26" t="inlineStr">
        <is>
          <t>Fail</t>
        </is>
      </c>
      <c r="H9" s="26" t="inlineStr">
        <is>
          <t>BUG-018</t>
        </is>
      </c>
      <c r="I9" s="4" t="inlineStr">
        <is>
          <t>Nhóm kiểm thử</t>
        </is>
      </c>
      <c r="J9" s="26" t="inlineStr">
        <is>
          <t>03/10/2026</t>
        </is>
      </c>
    </row>
    <row r="10">
      <c r="A10" s="26" t="n">
        <v>6</v>
      </c>
      <c r="B10" s="26" t="inlineStr">
        <is>
          <t>UT-SCH-06</t>
        </is>
      </c>
      <c r="C10" s="4" t="inlineStr">
        <is>
          <t>tests/unit/schema.test.ts</t>
        </is>
      </c>
      <c r="D10" s="4" t="inlineStr">
        <is>
          <t>shared/schema.ts – insertPetSchema</t>
        </is>
      </c>
      <c r="E10" s="4" t="inlineStr">
        <is>
          <t>chuyển cân nặng kiểu số sang chuỗi (decimal)</t>
        </is>
      </c>
      <c r="F10" s="4" t="inlineStr">
        <is>
          <t>Đúng như mong đợi</t>
        </is>
      </c>
      <c r="G10" s="26" t="inlineStr">
        <is>
          <t>Pass</t>
        </is>
      </c>
      <c r="H10" s="26" t="inlineStr"/>
      <c r="I10" s="4" t="inlineStr">
        <is>
          <t>Nhóm kiểm thử</t>
        </is>
      </c>
      <c r="J10" s="26" t="inlineStr">
        <is>
          <t>03/10/2026</t>
        </is>
      </c>
    </row>
    <row r="11">
      <c r="A11" s="26" t="n">
        <v>7</v>
      </c>
      <c r="B11" s="26" t="inlineStr">
        <is>
          <t>UT-SCH-07</t>
        </is>
      </c>
      <c r="C11" s="4" t="inlineStr">
        <is>
          <t>tests/unit/schema.test.ts</t>
        </is>
      </c>
      <c r="D11" s="4" t="inlineStr">
        <is>
          <t>shared/schema.ts – insertPetSchema</t>
        </is>
      </c>
      <c r="E11" s="4" t="inlineStr">
        <is>
          <t>từ chối tuổi âm</t>
        </is>
      </c>
      <c r="F11" s="4" t="inlineStr">
        <is>
          <t>Đúng như mong đợi</t>
        </is>
      </c>
      <c r="G11" s="26" t="inlineStr">
        <is>
          <t>Pass</t>
        </is>
      </c>
      <c r="H11" s="26" t="inlineStr"/>
      <c r="I11" s="4" t="inlineStr">
        <is>
          <t>Nhóm kiểm thử</t>
        </is>
      </c>
      <c r="J11" s="26" t="inlineStr">
        <is>
          <t>03/10/2026</t>
        </is>
      </c>
    </row>
    <row r="12">
      <c r="A12" s="26" t="n">
        <v>8</v>
      </c>
      <c r="B12" s="26" t="inlineStr">
        <is>
          <t>UT-SCH-08</t>
        </is>
      </c>
      <c r="C12" s="4" t="inlineStr">
        <is>
          <t>tests/unit/schema.test.ts</t>
        </is>
      </c>
      <c r="D12" s="4" t="inlineStr">
        <is>
          <t>shared/schema.ts – insertPetSchema</t>
        </is>
      </c>
      <c r="E12" s="4" t="inlineStr">
        <is>
          <t>từ chối thú cưng thiếu loài</t>
        </is>
      </c>
      <c r="F12" s="4" t="inlineStr">
        <is>
          <t>Đúng như mong đợi</t>
        </is>
      </c>
      <c r="G12" s="26" t="inlineStr">
        <is>
          <t>Pass</t>
        </is>
      </c>
      <c r="H12" s="26" t="inlineStr"/>
      <c r="I12" s="4" t="inlineStr">
        <is>
          <t>Nhóm kiểm thử</t>
        </is>
      </c>
      <c r="J12" s="26" t="inlineStr">
        <is>
          <t>03/10/2026</t>
        </is>
      </c>
    </row>
    <row r="13">
      <c r="A13" s="26" t="n">
        <v>9</v>
      </c>
      <c r="B13" s="26" t="inlineStr">
        <is>
          <t>UT-SCH-09</t>
        </is>
      </c>
      <c r="C13" s="4" t="inlineStr">
        <is>
          <t>tests/unit/schema.test.ts</t>
        </is>
      </c>
      <c r="D13" s="4" t="inlineStr">
        <is>
          <t>shared/schema.ts – insertAppointmentSchema</t>
        </is>
      </c>
      <c r="E13" s="4" t="inlineStr">
        <is>
          <t>chuyển chuỗi ngày giờ thành đối tượng Date, trạng thái mặc định pending</t>
        </is>
      </c>
      <c r="F13" s="4" t="inlineStr">
        <is>
          <t>Đúng như mong đợi</t>
        </is>
      </c>
      <c r="G13" s="26" t="inlineStr">
        <is>
          <t>Pass</t>
        </is>
      </c>
      <c r="H13" s="26" t="inlineStr"/>
      <c r="I13" s="4" t="inlineStr">
        <is>
          <t>Nhóm kiểm thử</t>
        </is>
      </c>
      <c r="J13" s="26" t="inlineStr">
        <is>
          <t>03/10/2026</t>
        </is>
      </c>
    </row>
    <row r="14">
      <c r="A14" s="26" t="n">
        <v>10</v>
      </c>
      <c r="B14" s="26" t="inlineStr">
        <is>
          <t>UT-SCH-10</t>
        </is>
      </c>
      <c r="C14" s="4" t="inlineStr">
        <is>
          <t>tests/unit/schema.test.ts</t>
        </is>
      </c>
      <c r="D14" s="4" t="inlineStr">
        <is>
          <t>shared/schema.ts – insertAppointmentSchema</t>
        </is>
      </c>
      <c r="E14" s="4" t="inlineStr">
        <is>
          <t>từ chối trạng thái không thuộc danh sách cho phép</t>
        </is>
      </c>
      <c r="F14" s="4" t="inlineStr">
        <is>
          <t>Đúng như mong đợi</t>
        </is>
      </c>
      <c r="G14" s="26" t="inlineStr">
        <is>
          <t>Pass</t>
        </is>
      </c>
      <c r="H14" s="26" t="inlineStr"/>
      <c r="I14" s="4" t="inlineStr">
        <is>
          <t>Nhóm kiểm thử</t>
        </is>
      </c>
      <c r="J14" s="26" t="inlineStr">
        <is>
          <t>03/10/2026</t>
        </is>
      </c>
    </row>
    <row r="15">
      <c r="A15" s="26" t="n">
        <v>11</v>
      </c>
      <c r="B15" s="26" t="inlineStr">
        <is>
          <t>UT-SCH-11</t>
        </is>
      </c>
      <c r="C15" s="4" t="inlineStr">
        <is>
          <t>tests/unit/schema.test.ts</t>
        </is>
      </c>
      <c r="D15" s="4" t="inlineStr">
        <is>
          <t>shared/schema.ts – insertAppointmentSchema</t>
        </is>
      </c>
      <c r="E15" s="4" t="inlineStr">
        <is>
          <t>từ chối ngày giờ không hợp lệ</t>
        </is>
      </c>
      <c r="F15" s="4" t="inlineStr">
        <is>
          <t>Đúng như mong đợi</t>
        </is>
      </c>
      <c r="G15" s="26" t="inlineStr">
        <is>
          <t>Pass</t>
        </is>
      </c>
      <c r="H15" s="26" t="inlineStr"/>
      <c r="I15" s="4" t="inlineStr">
        <is>
          <t>Nhóm kiểm thử</t>
        </is>
      </c>
      <c r="J15" s="26" t="inlineStr">
        <is>
          <t>03/10/2026</t>
        </is>
      </c>
    </row>
    <row r="16">
      <c r="A16" s="26" t="n">
        <v>12</v>
      </c>
      <c r="B16" s="26" t="inlineStr">
        <is>
          <t>UT-SCH-12</t>
        </is>
      </c>
      <c r="C16" s="4" t="inlineStr">
        <is>
          <t>tests/unit/schema.test.ts</t>
        </is>
      </c>
      <c r="D16" s="4" t="inlineStr">
        <is>
          <t>shared/schema.ts – insertInventorySchema</t>
        </is>
      </c>
      <c r="E16" s="4" t="inlineStr">
        <is>
          <t>từ chối vật tư có tồn kho âm</t>
        </is>
      </c>
      <c r="F16" s="4" t="inlineStr">
        <is>
          <t>Đúng như mong đợi</t>
        </is>
      </c>
      <c r="G16" s="26" t="inlineStr">
        <is>
          <t>Pass</t>
        </is>
      </c>
      <c r="H16" s="26" t="inlineStr"/>
      <c r="I16" s="4" t="inlineStr">
        <is>
          <t>Nhóm kiểm thử</t>
        </is>
      </c>
      <c r="J16" s="26" t="inlineStr">
        <is>
          <t>03/10/2026</t>
        </is>
      </c>
    </row>
    <row r="17">
      <c r="A17" s="26" t="n">
        <v>13</v>
      </c>
      <c r="B17" s="26" t="inlineStr">
        <is>
          <t>UT-SCH-13</t>
        </is>
      </c>
      <c r="C17" s="4" t="inlineStr">
        <is>
          <t>tests/unit/schema.test.ts</t>
        </is>
      </c>
      <c r="D17" s="4" t="inlineStr">
        <is>
          <t>shared/schema.ts – insertStockBatchSchema</t>
        </is>
      </c>
      <c r="E17" s="4" t="inlineStr">
        <is>
          <t>từ chối lô hàng có số lượng 0</t>
        </is>
      </c>
      <c r="F17" s="4" t="inlineStr">
        <is>
          <t>Đúng như mong đợi</t>
        </is>
      </c>
      <c r="G17" s="26" t="inlineStr">
        <is>
          <t>Pass</t>
        </is>
      </c>
      <c r="H17" s="26" t="inlineStr"/>
      <c r="I17" s="4" t="inlineStr">
        <is>
          <t>Nhóm kiểm thử</t>
        </is>
      </c>
      <c r="J17" s="26" t="inlineStr">
        <is>
          <t>03/10/2026</t>
        </is>
      </c>
    </row>
    <row r="18">
      <c r="A18" s="26" t="n">
        <v>14</v>
      </c>
      <c r="B18" s="26" t="inlineStr">
        <is>
          <t>UT-SCH-14</t>
        </is>
      </c>
      <c r="C18" s="4" t="inlineStr">
        <is>
          <t>tests/unit/schema.test.ts</t>
        </is>
      </c>
      <c r="D18" s="4" t="inlineStr">
        <is>
          <t>shared/schema.ts – insertInvoiceItemSchema</t>
        </is>
      </c>
      <c r="E18" s="4" t="inlineStr">
        <is>
          <t>từ chối dòng hóa đơn có số lượng 0</t>
        </is>
      </c>
      <c r="F18" s="4" t="inlineStr">
        <is>
          <t>Đúng như mong đợi</t>
        </is>
      </c>
      <c r="G18" s="26" t="inlineStr">
        <is>
          <t>Pass</t>
        </is>
      </c>
      <c r="H18" s="26" t="inlineStr"/>
      <c r="I18" s="4" t="inlineStr">
        <is>
          <t>Nhóm kiểm thử</t>
        </is>
      </c>
      <c r="J18" s="26" t="inlineStr">
        <is>
          <t>03/10/2026</t>
        </is>
      </c>
    </row>
    <row r="19">
      <c r="A19" s="26" t="n">
        <v>15</v>
      </c>
      <c r="B19" s="26" t="inlineStr">
        <is>
          <t>UT-SCH-15</t>
        </is>
      </c>
      <c r="C19" s="4" t="inlineStr">
        <is>
          <t>tests/unit/schema.test.ts</t>
        </is>
      </c>
      <c r="D19" s="4" t="inlineStr">
        <is>
          <t>shared/schema.ts – insertPaymentSchema</t>
        </is>
      </c>
      <c r="E19" s="4" t="inlineStr">
        <is>
          <t>chỉ chấp nhận phương thức thanh toán cash, card, bank_transfer, e_wallet</t>
        </is>
      </c>
      <c r="F19" s="4" t="inlineStr">
        <is>
          <t>Đúng như mong đợi</t>
        </is>
      </c>
      <c r="G19" s="26" t="inlineStr">
        <is>
          <t>Pass</t>
        </is>
      </c>
      <c r="H19" s="26" t="inlineStr"/>
      <c r="I19" s="4" t="inlineStr">
        <is>
          <t>Nhóm kiểm thử</t>
        </is>
      </c>
      <c r="J19" s="26" t="inlineStr">
        <is>
          <t>03/10/2026</t>
        </is>
      </c>
    </row>
    <row r="20">
      <c r="A20" s="26" t="n">
        <v>16</v>
      </c>
      <c r="B20" s="26" t="inlineStr">
        <is>
          <t>UT-SCH-16</t>
        </is>
      </c>
      <c r="C20" s="4" t="inlineStr">
        <is>
          <t>tests/unit/schema.test.ts</t>
        </is>
      </c>
      <c r="D20" s="4" t="inlineStr">
        <is>
          <t>shared/schema.ts – insertDoctorShiftSchema</t>
        </is>
      </c>
      <c r="E20" s="4" t="inlineStr">
        <is>
          <t>từ chối ca trực có giờ kết thúc trước giờ bắt đầu</t>
        </is>
      </c>
      <c r="F20" s="4" t="inlineStr">
        <is>
          <t>Schema chấp nhận ca 17:00 – 13:00</t>
        </is>
      </c>
      <c r="G20" s="26" t="inlineStr">
        <is>
          <t>Fail</t>
        </is>
      </c>
      <c r="H20" s="26" t="inlineStr">
        <is>
          <t>BUG-012</t>
        </is>
      </c>
      <c r="I20" s="4" t="inlineStr">
        <is>
          <t>Nhóm kiểm thử</t>
        </is>
      </c>
      <c r="J20" s="26" t="inlineStr">
        <is>
          <t>03/10/2026</t>
        </is>
      </c>
    </row>
    <row r="21">
      <c r="A21" s="26" t="n">
        <v>17</v>
      </c>
      <c r="B21" s="26" t="inlineStr">
        <is>
          <t>UT-STO-01</t>
        </is>
      </c>
      <c r="C21" s="4" t="inlineStr">
        <is>
          <t>tests/unit/storage.test.ts</t>
        </is>
      </c>
      <c r="D21" s="4" t="inlineStr">
        <is>
          <t>server/storage.ts – createAppointment()</t>
        </is>
      </c>
      <c r="E21" s="4" t="inlineStr">
        <is>
          <t>tạo lịch hẹn hợp lệ với trạng thái mặc định pending</t>
        </is>
      </c>
      <c r="F21" s="4" t="inlineStr">
        <is>
          <t>Đúng như mong đợi</t>
        </is>
      </c>
      <c r="G21" s="26" t="inlineStr">
        <is>
          <t>Pass</t>
        </is>
      </c>
      <c r="H21" s="26" t="inlineStr"/>
      <c r="I21" s="4" t="inlineStr">
        <is>
          <t>Nhóm kiểm thử</t>
        </is>
      </c>
      <c r="J21" s="26" t="inlineStr">
        <is>
          <t>03/10/2026</t>
        </is>
      </c>
    </row>
    <row r="22">
      <c r="A22" s="26" t="n">
        <v>18</v>
      </c>
      <c r="B22" s="26" t="inlineStr">
        <is>
          <t>UT-STO-02</t>
        </is>
      </c>
      <c r="C22" s="4" t="inlineStr">
        <is>
          <t>tests/unit/storage.test.ts</t>
        </is>
      </c>
      <c r="D22" s="4" t="inlineStr">
        <is>
          <t>server/storage.ts – createAppointment()</t>
        </is>
      </c>
      <c r="E22" s="4" t="inlineStr">
        <is>
          <t>từ chối lịch hẹn trùng khung giờ của bác sĩ</t>
        </is>
      </c>
      <c r="F22" s="4" t="inlineStr">
        <is>
          <t>Đúng như mong đợi</t>
        </is>
      </c>
      <c r="G22" s="26" t="inlineStr">
        <is>
          <t>Pass</t>
        </is>
      </c>
      <c r="H22" s="26" t="inlineStr"/>
      <c r="I22" s="4" t="inlineStr">
        <is>
          <t>Nhóm kiểm thử</t>
        </is>
      </c>
      <c r="J22" s="26" t="inlineStr">
        <is>
          <t>03/10/2026</t>
        </is>
      </c>
    </row>
    <row r="23">
      <c r="A23" s="26" t="n">
        <v>19</v>
      </c>
      <c r="B23" s="26" t="inlineStr">
        <is>
          <t>UT-STO-03</t>
        </is>
      </c>
      <c r="C23" s="4" t="inlineStr">
        <is>
          <t>tests/unit/storage.test.ts</t>
        </is>
      </c>
      <c r="D23" s="4" t="inlineStr">
        <is>
          <t>server/storage.ts – createAppointment()</t>
        </is>
      </c>
      <c r="E23" s="4" t="inlineStr">
        <is>
          <t>từ chối lịch hẹn trùng khung giờ của thú cưng</t>
        </is>
      </c>
      <c r="F23" s="4" t="inlineStr">
        <is>
          <t>Đúng như mong đợi</t>
        </is>
      </c>
      <c r="G23" s="26" t="inlineStr">
        <is>
          <t>Pass</t>
        </is>
      </c>
      <c r="H23" s="26" t="inlineStr"/>
      <c r="I23" s="4" t="inlineStr">
        <is>
          <t>Nhóm kiểm thử</t>
        </is>
      </c>
      <c r="J23" s="26" t="inlineStr">
        <is>
          <t>03/10/2026</t>
        </is>
      </c>
    </row>
    <row r="24">
      <c r="A24" s="26" t="n">
        <v>20</v>
      </c>
      <c r="B24" s="26" t="inlineStr">
        <is>
          <t>UT-STO-04</t>
        </is>
      </c>
      <c r="C24" s="4" t="inlineStr">
        <is>
          <t>tests/unit/storage.test.ts</t>
        </is>
      </c>
      <c r="D24" s="4" t="inlineStr">
        <is>
          <t>server/storage.ts – deleteAppointment()</t>
        </is>
      </c>
      <c r="E24" s="4" t="inlineStr">
        <is>
          <t>hủy lịch hẹn là xóa mềm (status = cancelled), khung giờ được giải phóng</t>
        </is>
      </c>
      <c r="F24" s="4" t="inlineStr">
        <is>
          <t>Đúng như mong đợi</t>
        </is>
      </c>
      <c r="G24" s="26" t="inlineStr">
        <is>
          <t>Pass</t>
        </is>
      </c>
      <c r="H24" s="26" t="inlineStr"/>
      <c r="I24" s="4" t="inlineStr">
        <is>
          <t>Nhóm kiểm thử</t>
        </is>
      </c>
      <c r="J24" s="26" t="inlineStr">
        <is>
          <t>03/10/2026</t>
        </is>
      </c>
    </row>
    <row r="25">
      <c r="A25" s="26" t="n">
        <v>21</v>
      </c>
      <c r="B25" s="26" t="inlineStr">
        <is>
          <t>UT-STO-05</t>
        </is>
      </c>
      <c r="C25" s="4" t="inlineStr">
        <is>
          <t>tests/unit/storage.test.ts</t>
        </is>
      </c>
      <c r="D25" s="4" t="inlineStr">
        <is>
          <t>server/storage.ts – createAppointment()</t>
        </is>
      </c>
      <c r="E25" s="4" t="inlineStr">
        <is>
          <t>từ chối lịch hẹn có ngày trong quá khứ</t>
        </is>
      </c>
      <c r="F25" s="4" t="inlineStr">
        <is>
          <t>Lịch hẹn trong quá khứ vẫn được tạo</t>
        </is>
      </c>
      <c r="G25" s="26" t="inlineStr">
        <is>
          <t>Fail</t>
        </is>
      </c>
      <c r="H25" s="26" t="inlineStr">
        <is>
          <t>BUG-010</t>
        </is>
      </c>
      <c r="I25" s="4" t="inlineStr">
        <is>
          <t>Nhóm kiểm thử</t>
        </is>
      </c>
      <c r="J25" s="26" t="inlineStr">
        <is>
          <t>03/10/2026</t>
        </is>
      </c>
    </row>
    <row r="26">
      <c r="A26" s="26" t="n">
        <v>22</v>
      </c>
      <c r="B26" s="26" t="inlineStr">
        <is>
          <t>UT-STO-06</t>
        </is>
      </c>
      <c r="C26" s="4" t="inlineStr">
        <is>
          <t>tests/unit/storage.test.ts</t>
        </is>
      </c>
      <c r="D26" s="4" t="inlineStr">
        <is>
          <t>server/storage.ts – updateInventoryStock()</t>
        </is>
      </c>
      <c r="E26" s="4" t="inlineStr">
        <is>
          <t>điều chỉnh tồn kho cộng/trừ đúng số lượng</t>
        </is>
      </c>
      <c r="F26" s="4" t="inlineStr">
        <is>
          <t>Đúng như mong đợi</t>
        </is>
      </c>
      <c r="G26" s="26" t="inlineStr">
        <is>
          <t>Pass</t>
        </is>
      </c>
      <c r="H26" s="26" t="inlineStr"/>
      <c r="I26" s="4" t="inlineStr">
        <is>
          <t>Nhóm kiểm thử</t>
        </is>
      </c>
      <c r="J26" s="26" t="inlineStr">
        <is>
          <t>03/10/2026</t>
        </is>
      </c>
    </row>
    <row r="27">
      <c r="A27" s="26" t="n">
        <v>23</v>
      </c>
      <c r="B27" s="26" t="inlineStr">
        <is>
          <t>UT-STO-07</t>
        </is>
      </c>
      <c r="C27" s="4" t="inlineStr">
        <is>
          <t>tests/unit/storage.test.ts</t>
        </is>
      </c>
      <c r="D27" s="4" t="inlineStr">
        <is>
          <t>server/storage.ts – updateInventoryStock()</t>
        </is>
      </c>
      <c r="E27" s="4" t="inlineStr">
        <is>
          <t>từ chối điều chỉnh làm tồn kho âm</t>
        </is>
      </c>
      <c r="F27" s="4" t="inlineStr">
        <is>
          <t>Đúng như mong đợi</t>
        </is>
      </c>
      <c r="G27" s="26" t="inlineStr">
        <is>
          <t>Pass</t>
        </is>
      </c>
      <c r="H27" s="26" t="inlineStr"/>
      <c r="I27" s="4" t="inlineStr">
        <is>
          <t>Nhóm kiểm thử</t>
        </is>
      </c>
      <c r="J27" s="26" t="inlineStr">
        <is>
          <t>03/10/2026</t>
        </is>
      </c>
    </row>
    <row r="28">
      <c r="A28" s="26" t="n">
        <v>24</v>
      </c>
      <c r="B28" s="26" t="inlineStr">
        <is>
          <t>UT-STO-08</t>
        </is>
      </c>
      <c r="C28" s="4" t="inlineStr">
        <is>
          <t>tests/unit/storage.test.ts</t>
        </is>
      </c>
      <c r="D28" s="4" t="inlineStr">
        <is>
          <t>server/storage.ts – createInvoiceItem()</t>
        </is>
      </c>
      <c r="E28" s="4" t="inlineStr">
        <is>
          <t>thêm dòng hóa đơn tự trừ tồn kho và cập nhật tổng tiền hóa đơn</t>
        </is>
      </c>
      <c r="F28" s="4" t="inlineStr">
        <is>
          <t>Đúng như mong đợi</t>
        </is>
      </c>
      <c r="G28" s="26" t="inlineStr">
        <is>
          <t>Pass</t>
        </is>
      </c>
      <c r="H28" s="26" t="inlineStr"/>
      <c r="I28" s="4" t="inlineStr">
        <is>
          <t>Nhóm kiểm thử</t>
        </is>
      </c>
      <c r="J28" s="26" t="inlineStr">
        <is>
          <t>03/10/2026</t>
        </is>
      </c>
    </row>
    <row r="29">
      <c r="A29" s="26" t="n">
        <v>25</v>
      </c>
      <c r="B29" s="26" t="inlineStr">
        <is>
          <t>UT-STO-09</t>
        </is>
      </c>
      <c r="C29" s="4" t="inlineStr">
        <is>
          <t>tests/unit/storage.test.ts</t>
        </is>
      </c>
      <c r="D29" s="4" t="inlineStr">
        <is>
          <t>server/storage.ts – createInvoiceItem()</t>
        </is>
      </c>
      <c r="E29" s="4" t="inlineStr">
        <is>
          <t>từ chối dòng hóa đơn vượt tồn kho, không thay đổi tồn kho (transaction rollback)</t>
        </is>
      </c>
      <c r="F29" s="4" t="inlineStr">
        <is>
          <t>Đúng như mong đợi</t>
        </is>
      </c>
      <c r="G29" s="26" t="inlineStr">
        <is>
          <t>Pass</t>
        </is>
      </c>
      <c r="H29" s="26" t="inlineStr"/>
      <c r="I29" s="4" t="inlineStr">
        <is>
          <t>Nhóm kiểm thử</t>
        </is>
      </c>
      <c r="J29" s="26" t="inlineStr">
        <is>
          <t>03/10/2026</t>
        </is>
      </c>
    </row>
    <row r="30">
      <c r="A30" s="26" t="n">
        <v>26</v>
      </c>
      <c r="B30" s="26" t="inlineStr">
        <is>
          <t>UT-STO-10</t>
        </is>
      </c>
      <c r="C30" s="4" t="inlineStr">
        <is>
          <t>tests/unit/storage.test.ts</t>
        </is>
      </c>
      <c r="D30" s="4" t="inlineStr">
        <is>
          <t>server/storage.ts – getLowStockItems()</t>
        </is>
      </c>
      <c r="E30" s="4" t="inlineStr">
        <is>
          <t>vật tư có tồn kho &lt;= tồn tối thiểu nằm trong danh sách sắp hết</t>
        </is>
      </c>
      <c r="F30" s="4" t="inlineStr">
        <is>
          <t>Đúng như mong đợi</t>
        </is>
      </c>
      <c r="G30" s="26" t="inlineStr">
        <is>
          <t>Pass</t>
        </is>
      </c>
      <c r="H30" s="26" t="inlineStr"/>
      <c r="I30" s="4" t="inlineStr">
        <is>
          <t>Nhóm kiểm thử</t>
        </is>
      </c>
      <c r="J30" s="26" t="inlineStr">
        <is>
          <t>03/10/2026</t>
        </is>
      </c>
    </row>
    <row r="31">
      <c r="A31" s="26" t="n">
        <v>27</v>
      </c>
      <c r="B31" s="26" t="inlineStr">
        <is>
          <t>UT-STO-11</t>
        </is>
      </c>
      <c r="C31" s="4" t="inlineStr">
        <is>
          <t>tests/unit/storage.test.ts</t>
        </is>
      </c>
      <c r="D31" s="4" t="inlineStr">
        <is>
          <t>server/storage.ts – getExpiringBatches()</t>
        </is>
      </c>
      <c r="E31" s="4" t="inlineStr">
        <is>
          <t>lô hàng hết hạn trong 30 ngày nằm trong danh sách sắp hết hạn</t>
        </is>
      </c>
      <c r="F31" s="4" t="inlineStr">
        <is>
          <t>Đúng như mong đợi</t>
        </is>
      </c>
      <c r="G31" s="26" t="inlineStr">
        <is>
          <t>Pass</t>
        </is>
      </c>
      <c r="H31" s="26" t="inlineStr"/>
      <c r="I31" s="4" t="inlineStr">
        <is>
          <t>Nhóm kiểm thử</t>
        </is>
      </c>
      <c r="J31" s="26" t="inlineStr">
        <is>
          <t>03/10/2026</t>
        </is>
      </c>
    </row>
    <row r="32">
      <c r="A32" s="26" t="n">
        <v>28</v>
      </c>
      <c r="B32" s="26" t="inlineStr">
        <is>
          <t>UT-STO-12</t>
        </is>
      </c>
      <c r="C32" s="4" t="inlineStr">
        <is>
          <t>tests/unit/storage.test.ts</t>
        </is>
      </c>
      <c r="D32" s="4" t="inlineStr">
        <is>
          <t>server/storage.ts – createStockBatch()</t>
        </is>
      </c>
      <c r="E32" s="4" t="inlineStr">
        <is>
          <t>nhập lô hàng mới làm tăng tồn kho của vật tư (R4.1)</t>
        </is>
      </c>
      <c r="F32" s="4" t="inlineStr">
        <is>
          <t>Tồn kho không đổi (2 → 2) sau khi nhập lô 20</t>
        </is>
      </c>
      <c r="G32" s="26" t="inlineStr">
        <is>
          <t>Fail</t>
        </is>
      </c>
      <c r="H32" s="26" t="inlineStr">
        <is>
          <t>BUG-019</t>
        </is>
      </c>
      <c r="I32" s="4" t="inlineStr">
        <is>
          <t>Nhóm kiểm thử</t>
        </is>
      </c>
      <c r="J32" s="26" t="inlineStr">
        <is>
          <t>03/10/2026</t>
        </is>
      </c>
    </row>
    <row r="33">
      <c r="A33" s="26" t="n">
        <v>29</v>
      </c>
      <c r="B33" s="26" t="inlineStr">
        <is>
          <t>UT-STO-13</t>
        </is>
      </c>
      <c r="C33" s="4" t="inlineStr">
        <is>
          <t>tests/unit/storage.test.ts</t>
        </is>
      </c>
      <c r="D33" s="4" t="inlineStr">
        <is>
          <t>server/storage.ts – createCustomer()</t>
        </is>
      </c>
      <c r="E33" s="4" t="inlineStr">
        <is>
          <t>từ chối tạo khách hàng trùng số điện thoại</t>
        </is>
      </c>
      <c r="F33" s="4" t="inlineStr">
        <is>
          <t>Khách hàng trùng SĐT vẫn được tạo</t>
        </is>
      </c>
      <c r="G33" s="26" t="inlineStr">
        <is>
          <t>Fail</t>
        </is>
      </c>
      <c r="H33" s="26" t="inlineStr">
        <is>
          <t>BUG-007</t>
        </is>
      </c>
      <c r="I33" s="4" t="inlineStr">
        <is>
          <t>Nhóm kiểm thử</t>
        </is>
      </c>
      <c r="J33" s="26" t="inlineStr">
        <is>
          <t>03/10/2026</t>
        </is>
      </c>
    </row>
    <row r="34">
      <c r="A34" s="26" t="n">
        <v>30</v>
      </c>
      <c r="B34" s="26" t="inlineStr">
        <is>
          <t>UT-STO-14</t>
        </is>
      </c>
      <c r="C34" s="4" t="inlineStr">
        <is>
          <t>tests/unit/storage.test.ts</t>
        </is>
      </c>
      <c r="D34" s="4" t="inlineStr">
        <is>
          <t>server/storage.ts – getCustomers()</t>
        </is>
      </c>
      <c r="E34" s="4" t="inlineStr">
        <is>
          <t>tìm kiếm khách hàng theo số điện thoại</t>
        </is>
      </c>
      <c r="F34" s="4" t="inlineStr">
        <is>
          <t>Đúng như mong đợi</t>
        </is>
      </c>
      <c r="G34" s="26" t="inlineStr">
        <is>
          <t>Pass</t>
        </is>
      </c>
      <c r="H34" s="26" t="inlineStr"/>
      <c r="I34" s="4" t="inlineStr">
        <is>
          <t>Nhóm kiểm thử</t>
        </is>
      </c>
      <c r="J34" s="26" t="inlineStr">
        <is>
          <t>03/10/2026</t>
        </is>
      </c>
    </row>
  </sheetData>
  <autoFilter ref="A4:J34"/>
  <conditionalFormatting sqref="G5:G3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G5:G34" showDropDown="0" showInputMessage="0" showErrorMessage="0" allowBlank="1" errorTitle="Trạng thái không hợp lệ" error="Chỉ chọn Pass, Fail, Blocked hoặc Not Run"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7" customWidth="1" min="3" max="3"/>
    <col width="34" customWidth="1" min="4" max="4"/>
    <col width="38" customWidth="1" min="5" max="5"/>
    <col width="17" customWidth="1" min="6" max="6"/>
    <col width="30" customWidth="1" min="7" max="7"/>
    <col width="44" customWidth="1" min="8" max="8"/>
    <col width="11" customWidth="1" min="9" max="9"/>
    <col width="11" customWidth="1" min="10" max="10"/>
    <col width="10" customWidth="1" min="11" max="11"/>
    <col width="14" customWidth="1" min="12" max="12"/>
    <col width="11" customWidth="1" min="13" max="13"/>
  </cols>
  <sheetData>
    <row r="1">
      <c r="A1" s="1" t="inlineStr">
        <is>
          <t>TEST CASE KIỂM THỬ PHI CHỨC NĂNG</t>
        </is>
      </c>
    </row>
    <row r="2">
      <c r="A2" s="2" t="inlineStr">
        <is>
          <t>Tải &amp; hiệu năng, chịu tải: autocannon. Toàn vẹn dữ liệu: Mocha + mysql2. Tin cậy &amp; phục hồi: Mocha + autocannon.</t>
        </is>
      </c>
    </row>
    <row r="4" ht="32" customHeight="1">
      <c r="A4" s="16" t="inlineStr">
        <is>
          <t>STT</t>
        </is>
      </c>
      <c r="B4" s="16" t="inlineStr">
        <is>
          <t>Test Case ID</t>
        </is>
      </c>
      <c r="C4" s="16" t="inlineStr">
        <is>
          <t>Loại kiểm thử</t>
        </is>
      </c>
      <c r="D4" s="16" t="inlineStr">
        <is>
          <t>Mô tả</t>
        </is>
      </c>
      <c r="E4" s="16" t="inlineStr">
        <is>
          <t>Cách thực hiện</t>
        </is>
      </c>
      <c r="F4" s="16" t="inlineStr">
        <is>
          <t>Công cụ</t>
        </is>
      </c>
      <c r="G4" s="16" t="inlineStr">
        <is>
          <t>Tiêu chí đạt</t>
        </is>
      </c>
      <c r="H4" s="16" t="inlineStr">
        <is>
          <t>Kết quả đo được</t>
        </is>
      </c>
      <c r="I4" s="16" t="inlineStr">
        <is>
          <t>Trạng thái</t>
        </is>
      </c>
      <c r="J4" s="16" t="inlineStr">
        <is>
          <t>Mức độ lỗi</t>
        </is>
      </c>
      <c r="K4" s="16" t="inlineStr">
        <is>
          <t>Mã lỗi</t>
        </is>
      </c>
      <c r="L4" s="16" t="inlineStr">
        <is>
          <t>Người test</t>
        </is>
      </c>
      <c r="M4" s="16" t="inlineStr">
        <is>
          <t>Ngày test</t>
        </is>
      </c>
    </row>
    <row r="5">
      <c r="A5" s="26" t="n">
        <v>1</v>
      </c>
      <c r="B5" s="26" t="inlineStr">
        <is>
          <t>LOAD-TC001</t>
        </is>
      </c>
      <c r="C5" s="4" t="inlineStr">
        <is>
          <t>Tải &amp; hiệu năng</t>
        </is>
      </c>
      <c r="D5" s="4" t="inlineStr">
        <is>
          <t>Trang Tổng quan – GET /api/dashboard/stats</t>
        </is>
      </c>
      <c r="E5" s="4" t="inlineStr">
        <is>
          <t>autocannon: 200 kết nối đồng thời trong 30.17 giây</t>
        </is>
      </c>
      <c r="F5" s="4" t="inlineStr">
        <is>
          <t>autocannon + Mocha</t>
        </is>
      </c>
      <c r="G5" s="4" t="inlineStr">
        <is>
          <t>p99 ≤ 3.000 ms; tỷ lệ lỗi 0%</t>
        </is>
      </c>
      <c r="H5" s="4" t="inlineStr">
        <is>
          <t>71.419 yêu cầu, 2381 req/s; p50 83 ms, p99 106 ms; lỗi 0%</t>
        </is>
      </c>
      <c r="I5" s="26" t="inlineStr">
        <is>
          <t>Pass</t>
        </is>
      </c>
      <c r="J5" s="26" t="inlineStr"/>
      <c r="K5" s="26" t="inlineStr"/>
      <c r="L5" s="4" t="inlineStr">
        <is>
          <t>Nhóm kiểm thử</t>
        </is>
      </c>
      <c r="M5" s="26" t="inlineStr">
        <is>
          <t>03/10/2026</t>
        </is>
      </c>
    </row>
    <row r="6">
      <c r="A6" s="26" t="n">
        <v>2</v>
      </c>
      <c r="B6" s="26" t="inlineStr">
        <is>
          <t>LOAD-TC002</t>
        </is>
      </c>
      <c r="C6" s="4" t="inlineStr">
        <is>
          <t>Tải &amp; hiệu năng</t>
        </is>
      </c>
      <c r="D6" s="4" t="inlineStr">
        <is>
          <t>Danh sách khách hàng – GET /api/customers</t>
        </is>
      </c>
      <c r="E6" s="4" t="inlineStr">
        <is>
          <t>autocannon: 200 kết nối đồng thời trong 30.17 giây</t>
        </is>
      </c>
      <c r="F6" s="4" t="inlineStr">
        <is>
          <t>autocannon + Mocha</t>
        </is>
      </c>
      <c r="G6" s="4" t="inlineStr">
        <is>
          <t>p99 ≤ 3.000 ms; tỷ lệ lỗi 0%</t>
        </is>
      </c>
      <c r="H6" s="4" t="inlineStr">
        <is>
          <t>69.616 yêu cầu, 2321 req/s; p50 84 ms, p99 118 ms; lỗi 0%</t>
        </is>
      </c>
      <c r="I6" s="26" t="inlineStr">
        <is>
          <t>Pass</t>
        </is>
      </c>
      <c r="J6" s="26" t="inlineStr"/>
      <c r="K6" s="26" t="inlineStr"/>
      <c r="L6" s="4" t="inlineStr">
        <is>
          <t>Nhóm kiểm thử</t>
        </is>
      </c>
      <c r="M6" s="26" t="inlineStr">
        <is>
          <t>03/10/2026</t>
        </is>
      </c>
    </row>
    <row r="7">
      <c r="A7" s="26" t="n">
        <v>3</v>
      </c>
      <c r="B7" s="26" t="inlineStr">
        <is>
          <t>LOAD-TC003</t>
        </is>
      </c>
      <c r="C7" s="4" t="inlineStr">
        <is>
          <t>Tải &amp; hiệu năng</t>
        </is>
      </c>
      <c r="D7" s="4" t="inlineStr">
        <is>
          <t>Danh sách lịch hẹn – GET /api/appointments</t>
        </is>
      </c>
      <c r="E7" s="4" t="inlineStr">
        <is>
          <t>autocannon: 200 kết nối đồng thời trong 30.11 giây</t>
        </is>
      </c>
      <c r="F7" s="4" t="inlineStr">
        <is>
          <t>autocannon + Mocha</t>
        </is>
      </c>
      <c r="G7" s="4" t="inlineStr">
        <is>
          <t>p99 ≤ 3.000 ms; tỷ lệ lỗi 0%</t>
        </is>
      </c>
      <c r="H7" s="4" t="inlineStr">
        <is>
          <t>62.641 yêu cầu, 2088 req/s; p50 90 ms, p99 148 ms; lỗi 0%</t>
        </is>
      </c>
      <c r="I7" s="26" t="inlineStr">
        <is>
          <t>Pass</t>
        </is>
      </c>
      <c r="J7" s="26" t="inlineStr"/>
      <c r="K7" s="26" t="inlineStr"/>
      <c r="L7" s="4" t="inlineStr">
        <is>
          <t>Nhóm kiểm thử</t>
        </is>
      </c>
      <c r="M7" s="26" t="inlineStr">
        <is>
          <t>03/10/2026</t>
        </is>
      </c>
    </row>
    <row r="8">
      <c r="A8" s="26" t="n">
        <v>4</v>
      </c>
      <c r="B8" s="26" t="inlineStr">
        <is>
          <t>LOAD-TC004</t>
        </is>
      </c>
      <c r="C8" s="4" t="inlineStr">
        <is>
          <t>Tải &amp; hiệu năng</t>
        </is>
      </c>
      <c r="D8" s="4" t="inlineStr">
        <is>
          <t>Kho thuốc – GET /api/inventory</t>
        </is>
      </c>
      <c r="E8" s="4" t="inlineStr">
        <is>
          <t>autocannon: 200 kết nối đồng thời trong 30.06 giây</t>
        </is>
      </c>
      <c r="F8" s="4" t="inlineStr">
        <is>
          <t>autocannon + Mocha</t>
        </is>
      </c>
      <c r="G8" s="4" t="inlineStr">
        <is>
          <t>p99 ≤ 3.000 ms; tỷ lệ lỗi 0%</t>
        </is>
      </c>
      <c r="H8" s="4" t="inlineStr">
        <is>
          <t>70.986 yêu cầu, 2367 req/s; p50 83 ms, p99 124 ms; lỗi 0%</t>
        </is>
      </c>
      <c r="I8" s="26" t="inlineStr">
        <is>
          <t>Pass</t>
        </is>
      </c>
      <c r="J8" s="26" t="inlineStr"/>
      <c r="K8" s="26" t="inlineStr"/>
      <c r="L8" s="4" t="inlineStr">
        <is>
          <t>Nhóm kiểm thử</t>
        </is>
      </c>
      <c r="M8" s="26" t="inlineStr">
        <is>
          <t>03/10/2026</t>
        </is>
      </c>
    </row>
    <row r="9">
      <c r="A9" s="26" t="n">
        <v>5</v>
      </c>
      <c r="B9" s="26" t="inlineStr">
        <is>
          <t>LOAD-TC005</t>
        </is>
      </c>
      <c r="C9" s="4" t="inlineStr">
        <is>
          <t>Tải &amp; hiệu năng</t>
        </is>
      </c>
      <c r="D9" s="4" t="inlineStr">
        <is>
          <t>Kịch bản hỗn hợp (đọc nhiều màn hình)</t>
        </is>
      </c>
      <c r="E9" s="4" t="inlineStr">
        <is>
          <t>autocannon: 200 kết nối đồng thời trong 30.1 giây</t>
        </is>
      </c>
      <c r="F9" s="4" t="inlineStr">
        <is>
          <t>autocannon + Mocha</t>
        </is>
      </c>
      <c r="G9" s="4" t="inlineStr">
        <is>
          <t>p99 ≤ 3.000 ms; tỷ lệ lỗi 0%</t>
        </is>
      </c>
      <c r="H9" s="4" t="inlineStr">
        <is>
          <t>15.558 yêu cầu, 519 req/s; p50 381 ms, p99 637 ms; lỗi 0%</t>
        </is>
      </c>
      <c r="I9" s="26" t="inlineStr">
        <is>
          <t>Pass</t>
        </is>
      </c>
      <c r="J9" s="26" t="inlineStr"/>
      <c r="K9" s="26" t="inlineStr"/>
      <c r="L9" s="4" t="inlineStr">
        <is>
          <t>Nhóm kiểm thử</t>
        </is>
      </c>
      <c r="M9" s="26" t="inlineStr">
        <is>
          <t>03/10/2026</t>
        </is>
      </c>
    </row>
    <row r="10">
      <c r="A10" s="26" t="n">
        <v>6</v>
      </c>
      <c r="B10" s="26" t="inlineStr">
        <is>
          <t>LOAD-TC006</t>
        </is>
      </c>
      <c r="C10" s="4" t="inlineStr">
        <is>
          <t>Tải &amp; hiệu năng</t>
        </is>
      </c>
      <c r="D10" s="4" t="inlineStr">
        <is>
          <t>Tải ghi – POST /api/customers (lễ tân tạo hồ sơ)</t>
        </is>
      </c>
      <c r="E10" s="4" t="inlineStr">
        <is>
          <t>autocannon: 200 kết nối đồng thời trong 30.07 giây</t>
        </is>
      </c>
      <c r="F10" s="4" t="inlineStr">
        <is>
          <t>autocannon + Mocha</t>
        </is>
      </c>
      <c r="G10" s="4" t="inlineStr">
        <is>
          <t>p99 ≤ 3.000 ms; tỷ lệ lỗi 0%</t>
        </is>
      </c>
      <c r="H10" s="4" t="inlineStr">
        <is>
          <t>21.135 yêu cầu, 705 req/s; p50 276 ms, p99 346 ms; lỗi 0%</t>
        </is>
      </c>
      <c r="I10" s="26" t="inlineStr">
        <is>
          <t>Pass</t>
        </is>
      </c>
      <c r="J10" s="26" t="inlineStr"/>
      <c r="K10" s="26" t="inlineStr"/>
      <c r="L10" s="4" t="inlineStr">
        <is>
          <t>Nhóm kiểm thử</t>
        </is>
      </c>
      <c r="M10" s="26" t="inlineStr">
        <is>
          <t>03/10/2026</t>
        </is>
      </c>
    </row>
    <row r="11">
      <c r="A11" s="26" t="n">
        <v>7</v>
      </c>
      <c r="B11" s="26" t="inlineStr">
        <is>
          <t>PERF-TC001</t>
        </is>
      </c>
      <c r="C11" s="4" t="inlineStr">
        <is>
          <t>Tải &amp; hiệu năng</t>
        </is>
      </c>
      <c r="D11" s="4" t="inlineStr">
        <is>
          <t>Tìm kiếm khách hàng trên 10.030 bản ghi – 1 người dùng</t>
        </is>
      </c>
      <c r="E11" s="4" t="inlineStr">
        <is>
          <t>Nạp 10.000 khách hàng; 50 lượt tìm theo tên, SĐT, email</t>
        </is>
      </c>
      <c r="F11" s="4" t="inlineStr">
        <is>
          <t>autocannon + Mocha</t>
        </is>
      </c>
      <c r="G11" s="4" t="inlineStr">
        <is>
          <t>p95 ≤ 2.000 ms (đặc tả mục 1.3)</t>
        </is>
      </c>
      <c r="H11" s="4" t="inlineStr">
        <is>
          <t>TB 26 ms, p95 36 ms, max 99 ms</t>
        </is>
      </c>
      <c r="I11" s="26" t="inlineStr">
        <is>
          <t>Pass</t>
        </is>
      </c>
      <c r="J11" s="26" t="inlineStr"/>
      <c r="K11" s="26" t="inlineStr"/>
      <c r="L11" s="4" t="inlineStr">
        <is>
          <t>Nhóm kiểm thử</t>
        </is>
      </c>
      <c r="M11" s="26" t="inlineStr">
        <is>
          <t>03/10/2026</t>
        </is>
      </c>
    </row>
    <row r="12">
      <c r="A12" s="26" t="n">
        <v>8</v>
      </c>
      <c r="B12" s="26" t="inlineStr">
        <is>
          <t>PERF-TC002</t>
        </is>
      </c>
      <c r="C12" s="4" t="inlineStr">
        <is>
          <t>Tải &amp; hiệu năng</t>
        </is>
      </c>
      <c r="D12" s="4" t="inlineStr">
        <is>
          <t>Tìm kiếm trên 10.000 bản ghi – 50 người dùng đồng thời</t>
        </is>
      </c>
      <c r="E12" s="4" t="inlineStr">
        <is>
          <t>autocannon: 50 kết nối trong 20 giây</t>
        </is>
      </c>
      <c r="F12" s="4" t="inlineStr">
        <is>
          <t>autocannon + Mocha</t>
        </is>
      </c>
      <c r="G12" s="4" t="inlineStr">
        <is>
          <t>p99 ≤ 2.000 ms; lỗi 0%</t>
        </is>
      </c>
      <c r="H12" s="4" t="inlineStr">
        <is>
          <t>2369 req/s; p50 20 ms, p99 33 ms; lỗi 0%</t>
        </is>
      </c>
      <c r="I12" s="26" t="inlineStr">
        <is>
          <t>Pass</t>
        </is>
      </c>
      <c r="J12" s="26" t="inlineStr"/>
      <c r="K12" s="26" t="inlineStr"/>
      <c r="L12" s="4" t="inlineStr">
        <is>
          <t>Nhóm kiểm thử</t>
        </is>
      </c>
      <c r="M12" s="26" t="inlineStr">
        <is>
          <t>03/10/2026</t>
        </is>
      </c>
    </row>
    <row r="13">
      <c r="A13" s="26" t="n">
        <v>9</v>
      </c>
      <c r="B13" s="26" t="inlineStr">
        <is>
          <t>STRESS-TC001</t>
        </is>
      </c>
      <c r="C13" s="4" t="inlineStr">
        <is>
          <t>Chịu tải</t>
        </is>
      </c>
      <c r="D13" s="4" t="inlineStr">
        <is>
          <t>Tăng dần tải để tìm ngưỡng quá tải</t>
        </is>
      </c>
      <c r="E13" s="4" t="inlineStr">
        <is>
          <t>Kịch bản hỗn hợp, 50 → 100 → 200 → 400 → 800 → 1200 → 1600 kết nối, 15 giây/mức</t>
        </is>
      </c>
      <c r="F13" s="4" t="inlineStr">
        <is>
          <t>autocannon + Mocha</t>
        </is>
      </c>
      <c r="G13" s="4" t="inlineStr">
        <is>
          <t>Không quá tải ở mức ≤ 200 kết nối (yêu cầu đặc tả)</t>
        </is>
      </c>
      <c r="H13" s="4" t="inlineStr">
        <is>
          <t>Đạt yêu cầu tới 400 kết nối; quá tải từ 800 kết nối (p99 3.717 ms); lỗi cao nhất 27.39%</t>
        </is>
      </c>
      <c r="I13" s="26" t="inlineStr">
        <is>
          <t>Pass</t>
        </is>
      </c>
      <c r="J13" s="26" t="inlineStr"/>
      <c r="K13" s="26" t="inlineStr"/>
      <c r="L13" s="4" t="inlineStr">
        <is>
          <t>Nhóm kiểm thử</t>
        </is>
      </c>
      <c r="M13" s="26" t="inlineStr">
        <is>
          <t>03/10/2026</t>
        </is>
      </c>
    </row>
    <row r="14">
      <c r="A14" s="26" t="n">
        <v>10</v>
      </c>
      <c r="B14" s="26" t="inlineStr">
        <is>
          <t>STRESS-TC002</t>
        </is>
      </c>
      <c r="C14" s="4" t="inlineStr">
        <is>
          <t>Chịu tải</t>
        </is>
      </c>
      <c r="D14" s="4" t="inlineStr">
        <is>
          <t>Máy chủ không bị sập khi quá tải</t>
        </is>
      </c>
      <c r="E14" s="4" t="inlineStr">
        <is>
          <t>Gọi API ngay sau mức tải cao nhất</t>
        </is>
      </c>
      <c r="F14" s="4" t="inlineStr">
        <is>
          <t>autocannon + Mocha</t>
        </is>
      </c>
      <c r="G14" s="4" t="inlineStr">
        <is>
          <t>HTTP 200</t>
        </is>
      </c>
      <c r="H14" s="4" t="inlineStr">
        <is>
          <t>HTTP 200, tiến trình vẫn chạy</t>
        </is>
      </c>
      <c r="I14" s="26" t="inlineStr">
        <is>
          <t>Pass</t>
        </is>
      </c>
      <c r="J14" s="26" t="inlineStr"/>
      <c r="K14" s="26" t="inlineStr"/>
      <c r="L14" s="4" t="inlineStr">
        <is>
          <t>Nhóm kiểm thử</t>
        </is>
      </c>
      <c r="M14" s="26" t="inlineStr">
        <is>
          <t>03/10/2026</t>
        </is>
      </c>
    </row>
    <row r="15">
      <c r="A15" s="26" t="n">
        <v>11</v>
      </c>
      <c r="B15" s="26" t="inlineStr">
        <is>
          <t>STRESS-TC003</t>
        </is>
      </c>
      <c r="C15" s="4" t="inlineStr">
        <is>
          <t>Chịu tải</t>
        </is>
      </c>
      <c r="D15" s="4" t="inlineStr">
        <is>
          <t>Hồi phục sau quá tải</t>
        </is>
      </c>
      <c r="E15" s="4" t="inlineStr">
        <is>
          <t>Giảm về 50 kết nối trong 10 giây</t>
        </is>
      </c>
      <c r="F15" s="4" t="inlineStr">
        <is>
          <t>autocannon + Mocha</t>
        </is>
      </c>
      <c r="G15" s="4" t="inlineStr">
        <is>
          <t>p99 ≤ 3.000 ms; lỗi 0%</t>
        </is>
      </c>
      <c r="H15" s="4" t="inlineStr">
        <is>
          <t>p99 316 ms; lỗi 0%</t>
        </is>
      </c>
      <c r="I15" s="26" t="inlineStr">
        <is>
          <t>Pass</t>
        </is>
      </c>
      <c r="J15" s="26" t="inlineStr"/>
      <c r="K15" s="26" t="inlineStr"/>
      <c r="L15" s="4" t="inlineStr">
        <is>
          <t>Nhóm kiểm thử</t>
        </is>
      </c>
      <c r="M15" s="26" t="inlineStr">
        <is>
          <t>03/10/2026</t>
        </is>
      </c>
    </row>
    <row r="16">
      <c r="A16" s="26" t="n">
        <v>12</v>
      </c>
      <c r="B16" s="26" t="inlineStr">
        <is>
          <t>DI-TC001</t>
        </is>
      </c>
      <c r="C16" s="4" t="inlineStr">
        <is>
          <t>Toàn vẹn dữ liệu</t>
        </is>
      </c>
      <c r="D16" s="4" t="inlineStr">
        <is>
          <t>20 giao dịch bán đồng thời trên vật tư tồn kho 10</t>
        </is>
      </c>
      <c r="E16" s="4" t="inlineStr">
        <is>
          <t>Gửi đồng thời 20 yêu cầu POST /api/invoice-items, mỗi yêu cầu 1 hộp</t>
        </is>
      </c>
      <c r="F16" s="4" t="inlineStr">
        <is>
          <t>Mocha + mysql2</t>
        </is>
      </c>
      <c r="G16" s="4" t="inlineStr">
        <is>
          <t>Đúng 10 giao dịch thành công; tồn kho = 0; không bán vượt</t>
        </is>
      </c>
      <c r="H16" s="4" t="inlineStr">
        <is>
          <t>Số đã bán (20) + tồn (8) ≠ 10 – bán vượt tồn kho</t>
        </is>
      </c>
      <c r="I16" s="26" t="inlineStr">
        <is>
          <t>Fail</t>
        </is>
      </c>
      <c r="J16" s="26" t="inlineStr">
        <is>
          <t>Cao</t>
        </is>
      </c>
      <c r="K16" s="26" t="inlineStr">
        <is>
          <t>BUG-005</t>
        </is>
      </c>
      <c r="L16" s="4" t="inlineStr">
        <is>
          <t>Nhóm kiểm thử</t>
        </is>
      </c>
      <c r="M16" s="26" t="inlineStr">
        <is>
          <t>03/10/2026</t>
        </is>
      </c>
    </row>
    <row r="17">
      <c r="A17" s="26" t="n">
        <v>13</v>
      </c>
      <c r="B17" s="26" t="inlineStr">
        <is>
          <t>DI-TC002</t>
        </is>
      </c>
      <c r="C17" s="4" t="inlineStr">
        <is>
          <t>Toàn vẹn dữ liệu</t>
        </is>
      </c>
      <c r="D17" s="4" t="inlineStr">
        <is>
          <t>10 yêu cầu đặt cùng bác sĩ, cùng khung giờ đồng thời</t>
        </is>
      </c>
      <c r="E17" s="4" t="inlineStr">
        <is>
          <t>Gửi đồng thời 10 yêu cầu POST /api/appointments</t>
        </is>
      </c>
      <c r="F17" s="4" t="inlineStr">
        <is>
          <t>Mocha + mysql2</t>
        </is>
      </c>
      <c r="G17" s="4" t="inlineStr">
        <is>
          <t>Chỉ 1 lịch hẹn được tạo</t>
        </is>
      </c>
      <c r="H17" s="4" t="inlineStr">
        <is>
          <t>Có 10 lịch hẹn cùng bác sĩ, cùng khung giờ</t>
        </is>
      </c>
      <c r="I17" s="26" t="inlineStr">
        <is>
          <t>Fail</t>
        </is>
      </c>
      <c r="J17" s="26" t="inlineStr">
        <is>
          <t>Cao</t>
        </is>
      </c>
      <c r="K17" s="26" t="inlineStr">
        <is>
          <t>BUG-006</t>
        </is>
      </c>
      <c r="L17" s="4" t="inlineStr">
        <is>
          <t>Nhóm kiểm thử</t>
        </is>
      </c>
      <c r="M17" s="26" t="inlineStr">
        <is>
          <t>03/10/2026</t>
        </is>
      </c>
    </row>
    <row r="18">
      <c r="A18" s="26" t="n">
        <v>14</v>
      </c>
      <c r="B18" s="26" t="inlineStr">
        <is>
          <t>DI-TC003</t>
        </is>
      </c>
      <c r="C18" s="4" t="inlineStr">
        <is>
          <t>Toàn vẹn dữ liệu</t>
        </is>
      </c>
      <c r="D18" s="4" t="inlineStr">
        <is>
          <t>Tổng tiền hóa đơn khớp các dòng hóa đơn</t>
        </is>
      </c>
      <c r="E18" s="4" t="inlineStr">
        <is>
          <t>Truy vấn SQL đối chiếu toàn bộ hóa đơn</t>
        </is>
      </c>
      <c r="F18" s="4" t="inlineStr">
        <is>
          <t>Mocha + mysql2</t>
        </is>
      </c>
      <c r="G18" s="4" t="inlineStr">
        <is>
          <t>0 hóa đơn lệch</t>
        </is>
      </c>
      <c r="H18" s="4" t="inlineStr">
        <is>
          <t>Đạt</t>
        </is>
      </c>
      <c r="I18" s="26" t="inlineStr">
        <is>
          <t>Pass</t>
        </is>
      </c>
      <c r="J18" s="26" t="inlineStr"/>
      <c r="K18" s="26" t="inlineStr"/>
      <c r="L18" s="4" t="inlineStr">
        <is>
          <t>Nhóm kiểm thử</t>
        </is>
      </c>
      <c r="M18" s="26" t="inlineStr">
        <is>
          <t>03/10/2026</t>
        </is>
      </c>
    </row>
    <row r="19">
      <c r="A19" s="26" t="n">
        <v>15</v>
      </c>
      <c r="B19" s="26" t="inlineStr">
        <is>
          <t>DI-TC004</t>
        </is>
      </c>
      <c r="C19" s="4" t="inlineStr">
        <is>
          <t>Toàn vẹn dữ liệu</t>
        </is>
      </c>
      <c r="D19" s="4" t="inlineStr">
        <is>
          <t>Không có tồn kho âm</t>
        </is>
      </c>
      <c r="E19" s="4" t="inlineStr">
        <is>
          <t>Truy vấn SQL bảng inventory</t>
        </is>
      </c>
      <c r="F19" s="4" t="inlineStr">
        <is>
          <t>Mocha + mysql2</t>
        </is>
      </c>
      <c r="G19" s="4" t="inlineStr">
        <is>
          <t>0 bản ghi stock &lt; 0</t>
        </is>
      </c>
      <c r="H19" s="4" t="inlineStr">
        <is>
          <t>Đạt</t>
        </is>
      </c>
      <c r="I19" s="26" t="inlineStr">
        <is>
          <t>Pass</t>
        </is>
      </c>
      <c r="J19" s="26" t="inlineStr"/>
      <c r="K19" s="26" t="inlineStr"/>
      <c r="L19" s="4" t="inlineStr">
        <is>
          <t>Nhóm kiểm thử</t>
        </is>
      </c>
      <c r="M19" s="26" t="inlineStr">
        <is>
          <t>03/10/2026</t>
        </is>
      </c>
    </row>
    <row r="20">
      <c r="A20" s="26" t="n">
        <v>16</v>
      </c>
      <c r="B20" s="26" t="inlineStr">
        <is>
          <t>DI-TC005</t>
        </is>
      </c>
      <c r="C20" s="4" t="inlineStr">
        <is>
          <t>Toàn vẹn dữ liệu</t>
        </is>
      </c>
      <c r="D20" s="4" t="inlineStr">
        <is>
          <t>Ràng buộc khóa ngoại thú cưng – khách hàng</t>
        </is>
      </c>
      <c r="E20" s="4" t="inlineStr">
        <is>
          <t>Tạo thú cưng với customerId không tồn tại</t>
        </is>
      </c>
      <c r="F20" s="4" t="inlineStr">
        <is>
          <t>Mocha + mysql2</t>
        </is>
      </c>
      <c r="G20" s="4" t="inlineStr">
        <is>
          <t>HTTP 400; 0 thú cưng mồ côi</t>
        </is>
      </c>
      <c r="H20" s="4" t="inlineStr">
        <is>
          <t>Đạt</t>
        </is>
      </c>
      <c r="I20" s="26" t="inlineStr">
        <is>
          <t>Pass</t>
        </is>
      </c>
      <c r="J20" s="26" t="inlineStr"/>
      <c r="K20" s="26" t="inlineStr"/>
      <c r="L20" s="4" t="inlineStr">
        <is>
          <t>Nhóm kiểm thử</t>
        </is>
      </c>
      <c r="M20" s="26" t="inlineStr">
        <is>
          <t>03/10/2026</t>
        </is>
      </c>
    </row>
    <row r="21">
      <c r="A21" s="26" t="n">
        <v>17</v>
      </c>
      <c r="B21" s="26" t="inlineStr">
        <is>
          <t>DI-TC006</t>
        </is>
      </c>
      <c r="C21" s="4" t="inlineStr">
        <is>
          <t>Toàn vẹn dữ liệu</t>
        </is>
      </c>
      <c r="D21" s="4" t="inlineStr">
        <is>
          <t>Hóa đơn chuyển "Đã thanh toán" khi thu đủ qua nhiều lần</t>
        </is>
      </c>
      <c r="E21" s="4" t="inlineStr">
        <is>
          <t>Hóa đơn 300.000đ, thu 100.000đ rồi 200.000đ</t>
        </is>
      </c>
      <c r="F21" s="4" t="inlineStr">
        <is>
          <t>Mocha + mysql2</t>
        </is>
      </c>
      <c r="G21" s="4" t="inlineStr">
        <is>
          <t>Sau lần 1: pending; sau lần 2: paid</t>
        </is>
      </c>
      <c r="H21" s="4" t="inlineStr">
        <is>
          <t>Đã thu đủ 300.000đ qua 2 lần nhưng hóa đơn vẫn "pending"</t>
        </is>
      </c>
      <c r="I21" s="26" t="inlineStr">
        <is>
          <t>Fail</t>
        </is>
      </c>
      <c r="J21" s="26" t="inlineStr">
        <is>
          <t>Trung bình</t>
        </is>
      </c>
      <c r="K21" s="26" t="inlineStr">
        <is>
          <t>BUG-016</t>
        </is>
      </c>
      <c r="L21" s="4" t="inlineStr">
        <is>
          <t>Nhóm kiểm thử</t>
        </is>
      </c>
      <c r="M21" s="26" t="inlineStr">
        <is>
          <t>03/10/2026</t>
        </is>
      </c>
    </row>
    <row r="22">
      <c r="A22" s="26" t="n">
        <v>18</v>
      </c>
      <c r="B22" s="26" t="inlineStr">
        <is>
          <t>DI-TC007</t>
        </is>
      </c>
      <c r="C22" s="4" t="inlineStr">
        <is>
          <t>Toàn vẹn dữ liệu</t>
        </is>
      </c>
      <c r="D22" s="4" t="inlineStr">
        <is>
          <t>Từ chối thanh toán vượt số tiền hóa đơn</t>
        </is>
      </c>
      <c r="E22" s="4" t="inlineStr">
        <is>
          <t>Thu 5.000.000đ cho hóa đơn 200.000đ</t>
        </is>
      </c>
      <c r="F22" s="4" t="inlineStr">
        <is>
          <t>Mocha + mysql2</t>
        </is>
      </c>
      <c r="G22" s="4" t="inlineStr">
        <is>
          <t>HTTP 400</t>
        </is>
      </c>
      <c r="H22" s="4" t="inlineStr">
        <is>
          <t>Thanh toán 5.000.000đ cho hóa đơn 200.000đ được chấp nhận (HTTP 201)</t>
        </is>
      </c>
      <c r="I22" s="26" t="inlineStr">
        <is>
          <t>Fail</t>
        </is>
      </c>
      <c r="J22" s="26" t="inlineStr">
        <is>
          <t>Trung bình</t>
        </is>
      </c>
      <c r="K22" s="26" t="inlineStr">
        <is>
          <t>BUG-017</t>
        </is>
      </c>
      <c r="L22" s="4" t="inlineStr">
        <is>
          <t>Nhóm kiểm thử</t>
        </is>
      </c>
      <c r="M22" s="26" t="inlineStr">
        <is>
          <t>03/10/2026</t>
        </is>
      </c>
    </row>
    <row r="23">
      <c r="A23" s="26" t="n">
        <v>19</v>
      </c>
      <c r="B23" s="26" t="inlineStr">
        <is>
          <t>DI-TC008</t>
        </is>
      </c>
      <c r="C23" s="4" t="inlineStr">
        <is>
          <t>Toàn vẹn dữ liệu</t>
        </is>
      </c>
      <c r="D23" s="4" t="inlineStr">
        <is>
          <t>Tiếng Việt, emoji, ký tự HTML được lưu nguyên vẹn</t>
        </is>
      </c>
      <c r="E23" s="4" t="inlineStr">
        <is>
          <t>Tạo khách hàng tên có dấu, emoji 🐶, ký tự &lt;b&gt;&amp;'" rồi đọc lại</t>
        </is>
      </c>
      <c r="F23" s="4" t="inlineStr">
        <is>
          <t>Mocha + mysql2</t>
        </is>
      </c>
      <c r="G23" s="4" t="inlineStr">
        <is>
          <t>Dữ liệu đọc lại giống hệt</t>
        </is>
      </c>
      <c r="H23" s="4" t="inlineStr">
        <is>
          <t>Đạt</t>
        </is>
      </c>
      <c r="I23" s="26" t="inlineStr">
        <is>
          <t>Pass</t>
        </is>
      </c>
      <c r="J23" s="26" t="inlineStr"/>
      <c r="K23" s="26" t="inlineStr"/>
      <c r="L23" s="4" t="inlineStr">
        <is>
          <t>Nhóm kiểm thử</t>
        </is>
      </c>
      <c r="M23" s="26" t="inlineStr">
        <is>
          <t>03/10/2026</t>
        </is>
      </c>
    </row>
    <row r="24">
      <c r="A24" s="26" t="n">
        <v>20</v>
      </c>
      <c r="B24" s="26" t="inlineStr">
        <is>
          <t>DI-TC009</t>
        </is>
      </c>
      <c r="C24" s="4" t="inlineStr">
        <is>
          <t>Toàn vẹn dữ liệu</t>
        </is>
      </c>
      <c r="D24" s="4" t="inlineStr">
        <is>
          <t>Chuỗi SQL Injection trong ô tìm kiếm</t>
        </is>
      </c>
      <c r="E24" s="4" t="inlineStr">
        <is>
          <t>4 chuỗi tấn công (' OR '1'='1, DROP TABLE…)</t>
        </is>
      </c>
      <c r="F24" s="4" t="inlineStr">
        <is>
          <t>Mocha + mysql2</t>
        </is>
      </c>
      <c r="G24" s="4" t="inlineStr">
        <is>
          <t>HTTP 200, 0 kết quả, số bản ghi không đổi</t>
        </is>
      </c>
      <c r="H24" s="4" t="inlineStr">
        <is>
          <t>Đạt</t>
        </is>
      </c>
      <c r="I24" s="26" t="inlineStr">
        <is>
          <t>Pass</t>
        </is>
      </c>
      <c r="J24" s="26" t="inlineStr"/>
      <c r="K24" s="26" t="inlineStr"/>
      <c r="L24" s="4" t="inlineStr">
        <is>
          <t>Nhóm kiểm thử</t>
        </is>
      </c>
      <c r="M24" s="26" t="inlineStr">
        <is>
          <t>03/10/2026</t>
        </is>
      </c>
    </row>
    <row r="25">
      <c r="A25" s="26" t="n">
        <v>21</v>
      </c>
      <c r="B25" s="26" t="inlineStr">
        <is>
          <t>DI-TC010</t>
        </is>
      </c>
      <c r="C25" s="4" t="inlineStr">
        <is>
          <t>Toàn vẹn dữ liệu</t>
        </is>
      </c>
      <c r="D25" s="4" t="inlineStr">
        <is>
          <t>Họ tên 5.000 ký tự</t>
        </is>
      </c>
      <c r="E25" s="4" t="inlineStr">
        <is>
          <t>POST /api/customers với tên 5.000 ký tự</t>
        </is>
      </c>
      <c r="F25" s="4" t="inlineStr">
        <is>
          <t>Mocha + mysql2</t>
        </is>
      </c>
      <c r="G25" s="4" t="inlineStr">
        <is>
          <t>Từ chối hoặc lưu nguyên vẹn, không lỗi 5xx</t>
        </is>
      </c>
      <c r="H25" s="4" t="inlineStr">
        <is>
          <t>Đạt</t>
        </is>
      </c>
      <c r="I25" s="26" t="inlineStr">
        <is>
          <t>Pass</t>
        </is>
      </c>
      <c r="J25" s="26" t="inlineStr"/>
      <c r="K25" s="26" t="inlineStr"/>
      <c r="L25" s="4" t="inlineStr">
        <is>
          <t>Nhóm kiểm thử</t>
        </is>
      </c>
      <c r="M25" s="26" t="inlineStr">
        <is>
          <t>03/10/2026</t>
        </is>
      </c>
    </row>
    <row r="26">
      <c r="A26" s="26" t="n">
        <v>22</v>
      </c>
      <c r="B26" s="26" t="inlineStr">
        <is>
          <t>DI-TC011</t>
        </is>
      </c>
      <c r="C26" s="4" t="inlineStr">
        <is>
          <t>Toàn vẹn dữ liệu</t>
        </is>
      </c>
      <c r="D26" s="4" t="inlineStr">
        <is>
          <t>Cập nhật một trường không làm mất trường khác</t>
        </is>
      </c>
      <c r="E26" s="4" t="inlineStr">
        <is>
          <t>PATCH địa chỉ, đọc lại hồ sơ</t>
        </is>
      </c>
      <c r="F26" s="4" t="inlineStr">
        <is>
          <t>Mocha + mysql2</t>
        </is>
      </c>
      <c r="G26" s="4" t="inlineStr">
        <is>
          <t>Các trường khác giữ nguyên</t>
        </is>
      </c>
      <c r="H26" s="4" t="inlineStr">
        <is>
          <t>Đạt</t>
        </is>
      </c>
      <c r="I26" s="26" t="inlineStr">
        <is>
          <t>Pass</t>
        </is>
      </c>
      <c r="J26" s="26" t="inlineStr"/>
      <c r="K26" s="26" t="inlineStr"/>
      <c r="L26" s="4" t="inlineStr">
        <is>
          <t>Nhóm kiểm thử</t>
        </is>
      </c>
      <c r="M26" s="26" t="inlineStr">
        <is>
          <t>03/10/2026</t>
        </is>
      </c>
    </row>
    <row r="27">
      <c r="A27" s="26" t="n">
        <v>23</v>
      </c>
      <c r="B27" s="26" t="inlineStr">
        <is>
          <t>REL-TC001</t>
        </is>
      </c>
      <c r="C27" s="4" t="inlineStr">
        <is>
          <t>Tin cậy &amp; phục hồi</t>
        </is>
      </c>
      <c r="D27" s="4" t="inlineStr">
        <is>
          <t>Yêu cầu sai định dạng JSON</t>
        </is>
      </c>
      <c r="E27" s="4" t="inlineStr">
        <is>
          <t>POST /api/customers với body hỏng</t>
        </is>
      </c>
      <c r="F27" s="4" t="inlineStr">
        <is>
          <t>Mocha + autocannon</t>
        </is>
      </c>
      <c r="G27" s="4" t="inlineStr">
        <is>
          <t>HTTP 4xx, ứng dụng vẫn chạy</t>
        </is>
      </c>
      <c r="H27" s="4" t="inlineStr">
        <is>
          <t>HTTP 400, ứng dụng vẫn chạy</t>
        </is>
      </c>
      <c r="I27" s="26" t="inlineStr">
        <is>
          <t>Pass</t>
        </is>
      </c>
      <c r="J27" s="26" t="inlineStr"/>
      <c r="K27" s="26" t="inlineStr"/>
      <c r="L27" s="4" t="inlineStr">
        <is>
          <t>Nhóm kiểm thử</t>
        </is>
      </c>
      <c r="M27" s="26" t="inlineStr">
        <is>
          <t>03/10/2026</t>
        </is>
      </c>
    </row>
    <row r="28">
      <c r="A28" s="26" t="n">
        <v>24</v>
      </c>
      <c r="B28" s="26" t="inlineStr">
        <is>
          <t>REL-TC002</t>
        </is>
      </c>
      <c r="C28" s="4" t="inlineStr">
        <is>
          <t>Tin cậy &amp; phục hồi</t>
        </is>
      </c>
      <c r="D28" s="4" t="inlineStr">
        <is>
          <t>Mất kết nối CSDL khi đang chạy</t>
        </is>
      </c>
      <c r="E28" s="4" t="inlineStr">
        <is>
          <t>Dừng MySQL, gọi API</t>
        </is>
      </c>
      <c r="F28" s="4" t="inlineStr">
        <is>
          <t>Mocha + autocannon</t>
        </is>
      </c>
      <c r="G28" s="4" t="inlineStr">
        <is>
          <t>HTTP 5xx có kiểm soát, ứng dụng không sập</t>
        </is>
      </c>
      <c r="H28" s="4" t="inlineStr">
        <is>
          <t>HTTP 500; ứng dụng vẫn chạy</t>
        </is>
      </c>
      <c r="I28" s="26" t="inlineStr">
        <is>
          <t>Pass</t>
        </is>
      </c>
      <c r="J28" s="26" t="inlineStr"/>
      <c r="K28" s="26" t="inlineStr"/>
      <c r="L28" s="4" t="inlineStr">
        <is>
          <t>Nhóm kiểm thử</t>
        </is>
      </c>
      <c r="M28" s="26" t="inlineStr">
        <is>
          <t>03/10/2026</t>
        </is>
      </c>
    </row>
    <row r="29">
      <c r="A29" s="26" t="n">
        <v>25</v>
      </c>
      <c r="B29" s="26" t="inlineStr">
        <is>
          <t>REL-TC003</t>
        </is>
      </c>
      <c r="C29" s="4" t="inlineStr">
        <is>
          <t>Tin cậy &amp; phục hồi</t>
        </is>
      </c>
      <c r="D29" s="4" t="inlineStr">
        <is>
          <t>Tự phục hồi khi CSDL hoạt động lại</t>
        </is>
      </c>
      <c r="E29" s="4" t="inlineStr">
        <is>
          <t>Khởi động lại MySQL, không khởi động lại ứng dụng</t>
        </is>
      </c>
      <c r="F29" s="4" t="inlineStr">
        <is>
          <t>Mocha + autocannon</t>
        </is>
      </c>
      <c r="G29" s="4" t="inlineStr">
        <is>
          <t>API trở lại bình thường ≤ 30 giây</t>
        </is>
      </c>
      <c r="H29" s="4" t="inlineStr">
        <is>
          <t>Phục hồi sau 1.056 ms</t>
        </is>
      </c>
      <c r="I29" s="26" t="inlineStr">
        <is>
          <t>Pass</t>
        </is>
      </c>
      <c r="J29" s="26" t="inlineStr"/>
      <c r="K29" s="26" t="inlineStr"/>
      <c r="L29" s="4" t="inlineStr">
        <is>
          <t>Nhóm kiểm thử</t>
        </is>
      </c>
      <c r="M29" s="26" t="inlineStr">
        <is>
          <t>03/10/2026</t>
        </is>
      </c>
    </row>
    <row r="30">
      <c r="A30" s="26" t="n">
        <v>26</v>
      </c>
      <c r="B30" s="26" t="inlineStr">
        <is>
          <t>REL-TC004</t>
        </is>
      </c>
      <c r="C30" s="4" t="inlineStr">
        <is>
          <t>Tin cậy &amp; phục hồi</t>
        </is>
      </c>
      <c r="D30" s="4" t="inlineStr">
        <is>
          <t>Dữ liệu bền vững khi ứng dụng bị tắt đột ngột</t>
        </is>
      </c>
      <c r="E30" s="4" t="inlineStr">
        <is>
          <t>Tạo hồ sơ, kill tiến trình, khởi động lại, đọc hồ sơ</t>
        </is>
      </c>
      <c r="F30" s="4" t="inlineStr">
        <is>
          <t>Mocha + autocannon</t>
        </is>
      </c>
      <c r="G30" s="4" t="inlineStr">
        <is>
          <t>Hồ sơ còn nguyên</t>
        </is>
      </c>
      <c r="H30" s="4" t="inlineStr">
        <is>
          <t>Hồ sơ còn nguyên</t>
        </is>
      </c>
      <c r="I30" s="26" t="inlineStr">
        <is>
          <t>Pass</t>
        </is>
      </c>
      <c r="J30" s="26" t="inlineStr"/>
      <c r="K30" s="26" t="inlineStr"/>
      <c r="L30" s="4" t="inlineStr">
        <is>
          <t>Nhóm kiểm thử</t>
        </is>
      </c>
      <c r="M30" s="26" t="inlineStr">
        <is>
          <t>03/10/2026</t>
        </is>
      </c>
    </row>
    <row r="31">
      <c r="A31" s="26" t="n">
        <v>27</v>
      </c>
      <c r="B31" s="26" t="inlineStr">
        <is>
          <t>REL-TC005</t>
        </is>
      </c>
      <c r="C31" s="4" t="inlineStr">
        <is>
          <t>Tin cậy &amp; phục hồi</t>
        </is>
      </c>
      <c r="D31" s="4" t="inlineStr">
        <is>
          <t>Thời gian khởi động lại ứng dụng</t>
        </is>
      </c>
      <c r="E31" s="4" t="inlineStr">
        <is>
          <t>Đo từ lúc khởi chạy tới khi API trả 200</t>
        </is>
      </c>
      <c r="F31" s="4" t="inlineStr">
        <is>
          <t>Mocha + autocannon</t>
        </is>
      </c>
      <c r="G31" s="4" t="inlineStr">
        <is>
          <t>≤ 10 giây</t>
        </is>
      </c>
      <c r="H31" s="4" t="inlineStr">
        <is>
          <t>834 ms</t>
        </is>
      </c>
      <c r="I31" s="26" t="inlineStr">
        <is>
          <t>Pass</t>
        </is>
      </c>
      <c r="J31" s="26" t="inlineStr"/>
      <c r="K31" s="26" t="inlineStr"/>
      <c r="L31" s="4" t="inlineStr">
        <is>
          <t>Nhóm kiểm thử</t>
        </is>
      </c>
      <c r="M31" s="26" t="inlineStr">
        <is>
          <t>03/10/2026</t>
        </is>
      </c>
    </row>
    <row r="32">
      <c r="A32" s="26" t="n">
        <v>28</v>
      </c>
      <c r="B32" s="26" t="inlineStr">
        <is>
          <t>REL-TC006</t>
        </is>
      </c>
      <c r="C32" s="4" t="inlineStr">
        <is>
          <t>Tin cậy &amp; phục hồi</t>
        </is>
      </c>
      <c r="D32" s="4" t="inlineStr">
        <is>
          <t>Chạy tải liên tục 180 giây</t>
        </is>
      </c>
      <c r="E32" s="4" t="inlineStr">
        <is>
          <t>autocannon: 50 kết nối, 4 API đọc</t>
        </is>
      </c>
      <c r="F32" s="4" t="inlineStr">
        <is>
          <t>Mocha + autocannon</t>
        </is>
      </c>
      <c r="G32" s="4" t="inlineStr">
        <is>
          <t>Lỗi 0%; p99 ≤ 3.000 ms; RAM không tăng liên tục</t>
        </is>
      </c>
      <c r="H32" s="4" t="inlineStr">
        <is>
          <t>61.913 yêu cầu; p99 395 ms; lỗi 0%; RAM 219 → 335 → 324 MB</t>
        </is>
      </c>
      <c r="I32" s="26" t="inlineStr">
        <is>
          <t>Pass</t>
        </is>
      </c>
      <c r="J32" s="26" t="inlineStr"/>
      <c r="K32" s="26" t="inlineStr"/>
      <c r="L32" s="4" t="inlineStr">
        <is>
          <t>Nhóm kiểm thử</t>
        </is>
      </c>
      <c r="M32" s="26" t="inlineStr">
        <is>
          <t>03/10/2026</t>
        </is>
      </c>
    </row>
  </sheetData>
  <autoFilter ref="A4:M32"/>
  <conditionalFormatting sqref="I5:I32">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I5:I32" showDropDown="0" showInputMessage="0" showErrorMessage="0" allowBlank="1" errorTitle="Trạng thái không hợp lệ" error="Chỉ chọn Pass, Fail, Blocked hoặc Not Run"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5" customWidth="1" min="3" max="3"/>
    <col width="40" customWidth="1" min="4" max="4"/>
    <col width="11" customWidth="1" min="5" max="5"/>
    <col width="15" customWidth="1" min="6" max="6"/>
    <col width="42" customWidth="1" min="7" max="7"/>
    <col width="34" customWidth="1" min="8" max="8"/>
    <col width="40" customWidth="1" min="9" max="9"/>
    <col width="42" customWidth="1" min="10" max="10"/>
    <col width="14" customWidth="1" min="11" max="11"/>
    <col width="14" customWidth="1" min="12" max="12"/>
    <col width="12" customWidth="1" min="13" max="13"/>
  </cols>
  <sheetData>
    <row r="1">
      <c r="A1" s="1" t="inlineStr">
        <is>
          <t>DANH SÁCH LỖI (BUG REPORT)</t>
        </is>
      </c>
    </row>
    <row r="2">
      <c r="A2" s="2" t="inlineStr">
        <is>
          <t>Mỗi lỗi gắn với test case phát hiện ra nó. Trạng thái xử lý cập nhật khi nhóm phát triển sửa lỗi.</t>
        </is>
      </c>
    </row>
    <row r="4" ht="32" customHeight="1">
      <c r="A4" s="16" t="inlineStr">
        <is>
          <t>Mã lỗi</t>
        </is>
      </c>
      <c r="B4" s="16" t="inlineStr">
        <is>
          <t>Test case</t>
        </is>
      </c>
      <c r="C4" s="16" t="inlineStr">
        <is>
          <t>Loại</t>
        </is>
      </c>
      <c r="D4" s="16" t="inlineStr">
        <is>
          <t>Tiêu đề lỗi</t>
        </is>
      </c>
      <c r="E4" s="16" t="inlineStr">
        <is>
          <t>Mức độ</t>
        </is>
      </c>
      <c r="F4" s="16" t="inlineStr">
        <is>
          <t>Ưu tiên</t>
        </is>
      </c>
      <c r="G4" s="16" t="inlineStr">
        <is>
          <t>Bước tái hiện</t>
        </is>
      </c>
      <c r="H4" s="16" t="inlineStr">
        <is>
          <t>Kết quả mong đợi</t>
        </is>
      </c>
      <c r="I4" s="16" t="inlineStr">
        <is>
          <t>Kết quả thực tế</t>
        </is>
      </c>
      <c r="J4" s="16" t="inlineStr">
        <is>
          <t>Vị trí nghi vấn trong mã nguồn</t>
        </is>
      </c>
      <c r="K4" s="16" t="inlineStr">
        <is>
          <t>Trạng thái xử lý</t>
        </is>
      </c>
      <c r="L4" s="16" t="inlineStr">
        <is>
          <t>Người phát hiện</t>
        </is>
      </c>
      <c r="M4" s="16" t="inlineStr">
        <is>
          <t>Ngày phát hiện</t>
        </is>
      </c>
    </row>
    <row r="5">
      <c r="A5" s="26" t="inlineStr">
        <is>
          <t>BUG-001</t>
        </is>
      </c>
      <c r="B5" s="26" t="inlineStr">
        <is>
          <t>SYS-TC004</t>
        </is>
      </c>
      <c r="C5" s="4" t="inlineStr">
        <is>
          <t>Chức năng</t>
        </is>
      </c>
      <c r="D5" s="4" t="inlineStr">
        <is>
          <t>Chưa có đăng nhập và phân quyền RBAC; mọi người truy cập URL đều thao tác được dữ liệu</t>
        </is>
      </c>
      <c r="E5" s="26" t="inlineStr">
        <is>
          <t>Cao</t>
        </is>
      </c>
      <c r="F5" s="26" t="inlineStr">
        <is>
          <t>P1 – Gấp</t>
        </is>
      </c>
      <c r="G5" s="4" t="inlineStr">
        <is>
          <t>1. Mở trình duyệt mới (chưa đăng nhập)
2. Truy cập trực tiếp trang Khách hàng (/customers)</t>
        </is>
      </c>
      <c r="H5" s="4" t="inlineStr">
        <is>
          <t>Hệ thống yêu cầu đăng nhập, không cho xem dữ liệu khách hàng</t>
        </is>
      </c>
      <c r="I5" s="4" t="inlineStr">
        <is>
          <t>Không có trang đăng nhập – truy cập thẳng được danh sách khách hàng</t>
        </is>
      </c>
      <c r="J5" s="4" t="inlineStr">
        <is>
          <t>client/src/App.tsx, server/routes.ts (không có middleware xác thực)</t>
        </is>
      </c>
      <c r="K5" s="26" t="inlineStr">
        <is>
          <t>Mới (New)</t>
        </is>
      </c>
      <c r="L5" s="4" t="inlineStr">
        <is>
          <t>Nhóm kiểm thử</t>
        </is>
      </c>
      <c r="M5" s="26" t="inlineStr">
        <is>
          <t>03/10/2026</t>
        </is>
      </c>
    </row>
    <row r="6">
      <c r="A6" s="26" t="inlineStr">
        <is>
          <t>BUG-002</t>
        </is>
      </c>
      <c r="B6" s="26" t="inlineStr">
        <is>
          <t>UC1.1-TC010</t>
        </is>
      </c>
      <c r="C6" s="4" t="inlineStr">
        <is>
          <t>Chức năng</t>
        </is>
      </c>
      <c r="D6" s="4" t="inlineStr">
        <is>
          <t>Bỏ trống ô Địa chỉ (không bắt buộc) thì không thêm được khách hàng; thông báo lỗi là chuỗi JSON</t>
        </is>
      </c>
      <c r="E6" s="26" t="inlineStr">
        <is>
          <t>Cao</t>
        </is>
      </c>
      <c r="F6" s="26" t="inlineStr">
        <is>
          <t>P1 – Gấp</t>
        </is>
      </c>
      <c r="G6" s="4" t="inlineStr">
        <is>
          <t>1. Chọn "Thêm khách hàng"
2. Nhập Họ tên, Email, SĐT hợp lệ (Khách Không Địa Chỉ / kdc106379@test.vn / 0910637922)
3. Bỏ trống Địa chỉ
4. Nhấn "Lưu khách hàng"</t>
        </is>
      </c>
      <c r="H6" s="4" t="inlineStr">
        <is>
          <t>Hiển thị "Thêm khách hàng thành công" (Địa chỉ không có dấu * nên không bắt buộc)</t>
        </is>
      </c>
      <c r="I6" s="4" t="inlineStr">
        <is>
          <t>Hiển thị "Không thể thêm khách hàng" kèm lỗi JSON: "String must contain at least 1 character(s)", path ["address"]</t>
        </is>
      </c>
      <c r="J6" s="4" t="inlineStr">
        <is>
          <t>AddCustomerDialog.tsx gửi address = ""; shared/schema.ts: nullableString = z.string().min(1)</t>
        </is>
      </c>
      <c r="K6" s="26" t="inlineStr">
        <is>
          <t>Mới (New)</t>
        </is>
      </c>
      <c r="L6" s="4" t="inlineStr">
        <is>
          <t>Nhóm kiểm thử</t>
        </is>
      </c>
      <c r="M6" s="26" t="inlineStr">
        <is>
          <t>03/10/2026</t>
        </is>
      </c>
    </row>
    <row r="7">
      <c r="A7" s="26" t="inlineStr">
        <is>
          <t>BUG-003</t>
        </is>
      </c>
      <c r="B7" s="26" t="inlineStr">
        <is>
          <t>UC1.5-TC001</t>
        </is>
      </c>
      <c r="C7" s="4" t="inlineStr">
        <is>
          <t>Chức năng</t>
        </is>
      </c>
      <c r="D7" s="4" t="inlineStr">
        <is>
          <t>Ô tìm kiếm khách hàng mất focus sau ký tự đầu, không gõ tiếp được</t>
        </is>
      </c>
      <c r="E7" s="26" t="inlineStr">
        <is>
          <t>Cao</t>
        </is>
      </c>
      <c r="F7" s="26" t="inlineStr">
        <is>
          <t>P1 – Gấp</t>
        </is>
      </c>
      <c r="G7" s="4" t="inlineStr">
        <is>
          <t>1. Nhập tên vào ô tìm kiếm (Trần Lan)</t>
        </is>
      </c>
      <c r="H7" s="4" t="inlineStr">
        <is>
          <t>Chỉ hiển thị khách hàng "Trần Lan"</t>
        </is>
      </c>
      <c r="I7" s="4" t="inlineStr">
        <is>
          <t>Ô tìm kiếm mất focus sau ký tự đầu – chỉ nhận "T", danh sách lọc sai</t>
        </is>
      </c>
      <c r="J7" s="4" t="inlineStr">
        <is>
          <t>CustomerList.tsx:70 – return sớm khi isLoading làm ô tìm kiếm bị gỡ khỏi DOM</t>
        </is>
      </c>
      <c r="K7" s="26" t="inlineStr">
        <is>
          <t>Mới (New)</t>
        </is>
      </c>
      <c r="L7" s="4" t="inlineStr">
        <is>
          <t>Nhóm kiểm thử</t>
        </is>
      </c>
      <c r="M7" s="26" t="inlineStr">
        <is>
          <t>03/10/2026</t>
        </is>
      </c>
    </row>
    <row r="8">
      <c r="A8" s="26" t="inlineStr">
        <is>
          <t>BUG-004</t>
        </is>
      </c>
      <c r="B8" s="26" t="inlineStr">
        <is>
          <t>UC1.5-TC002</t>
        </is>
      </c>
      <c r="C8" s="4" t="inlineStr">
        <is>
          <t>Chức năng</t>
        </is>
      </c>
      <c r="D8" s="4" t="inlineStr">
        <is>
          <t>Như UC1.5-TC001 khi tìm theo số điện thoại</t>
        </is>
      </c>
      <c r="E8" s="26" t="inlineStr">
        <is>
          <t>Cao</t>
        </is>
      </c>
      <c r="F8" s="26" t="inlineStr">
        <is>
          <t>P1 – Gấp</t>
        </is>
      </c>
      <c r="G8" s="4" t="inlineStr">
        <is>
          <t>1. Nhập SĐT vào ô tìm kiếm (0911000003)</t>
        </is>
      </c>
      <c r="H8" s="4" t="inlineStr">
        <is>
          <t>Hiển thị khách hàng "Phạm Tuấn"</t>
        </is>
      </c>
      <c r="I8" s="4" t="inlineStr">
        <is>
          <t>Ô tìm kiếm mất focus sau ký tự đầu – chỉ nhận "0", danh sách lọc sai</t>
        </is>
      </c>
      <c r="J8" s="4" t="inlineStr">
        <is>
          <t>CustomerList.tsx:70</t>
        </is>
      </c>
      <c r="K8" s="26" t="inlineStr">
        <is>
          <t>Mới (New)</t>
        </is>
      </c>
      <c r="L8" s="4" t="inlineStr">
        <is>
          <t>Nhóm kiểm thử</t>
        </is>
      </c>
      <c r="M8" s="26" t="inlineStr">
        <is>
          <t>03/10/2026</t>
        </is>
      </c>
    </row>
    <row r="9">
      <c r="A9" s="26" t="inlineStr">
        <is>
          <t>BUG-005</t>
        </is>
      </c>
      <c r="B9" s="26" t="inlineStr">
        <is>
          <t>DI-TC001</t>
        </is>
      </c>
      <c r="C9" s="4" t="inlineStr">
        <is>
          <t>Toàn vẹn dữ liệu</t>
        </is>
      </c>
      <c r="D9" s="4" t="inlineStr">
        <is>
          <t>Bán đồng thời: tồn kho bị ghi đè (lost update), bán vượt số lượng thực có</t>
        </is>
      </c>
      <c r="E9" s="26" t="inlineStr">
        <is>
          <t>Cao</t>
        </is>
      </c>
      <c r="F9" s="26" t="inlineStr">
        <is>
          <t>P1 – Gấp</t>
        </is>
      </c>
      <c r="G9" s="4" t="inlineStr">
        <is>
          <t>Gửi đồng thời 20 yêu cầu POST /api/invoice-items, mỗi yêu cầu 1 hộp</t>
        </is>
      </c>
      <c r="H9" s="4" t="inlineStr">
        <is>
          <t>Đúng 10 giao dịch thành công; tồn kho = 0; không bán vượt</t>
        </is>
      </c>
      <c r="I9" s="4" t="inlineStr">
        <is>
          <t>Số đã bán (20) + tồn (8) ≠ 10 – bán vượt tồn kho</t>
        </is>
      </c>
      <c r="J9" s="4" t="inlineStr">
        <is>
          <t>server/storage.ts – createInvoiceItem(): đọc tồn kho không khóa (thiếu SELECT … FOR UPDATE hoặc UPDATE có điều kiện)</t>
        </is>
      </c>
      <c r="K9" s="26" t="inlineStr">
        <is>
          <t>Mới (New)</t>
        </is>
      </c>
      <c r="L9" s="4" t="inlineStr">
        <is>
          <t>Nhóm kiểm thử</t>
        </is>
      </c>
      <c r="M9" s="26" t="inlineStr">
        <is>
          <t>03/10/2026</t>
        </is>
      </c>
    </row>
    <row r="10">
      <c r="A10" s="26" t="inlineStr">
        <is>
          <t>BUG-006</t>
        </is>
      </c>
      <c r="B10" s="26" t="inlineStr">
        <is>
          <t>DI-TC002</t>
        </is>
      </c>
      <c r="C10" s="4" t="inlineStr">
        <is>
          <t>Toàn vẹn dữ liệu</t>
        </is>
      </c>
      <c r="D10" s="4" t="inlineStr">
        <is>
          <t>Đặt lịch đồng thời: nhiều lịch trùng bác sĩ, trùng giờ cùng được tạo</t>
        </is>
      </c>
      <c r="E10" s="26" t="inlineStr">
        <is>
          <t>Cao</t>
        </is>
      </c>
      <c r="F10" s="26" t="inlineStr">
        <is>
          <t>P1 – Gấp</t>
        </is>
      </c>
      <c r="G10" s="4" t="inlineStr">
        <is>
          <t>Gửi đồng thời 10 yêu cầu POST /api/appointments</t>
        </is>
      </c>
      <c r="H10" s="4" t="inlineStr">
        <is>
          <t>Chỉ 1 lịch hẹn được tạo</t>
        </is>
      </c>
      <c r="I10" s="4" t="inlineStr">
        <is>
          <t>Có 10 lịch hẹn cùng bác sĩ, cùng khung giờ</t>
        </is>
      </c>
      <c r="J10" s="4" t="inlineStr">
        <is>
          <t>server/storage.ts – createAppointment(): kiểm tra rồi mới chèn, không khóa và không có ràng buộc UNIQUE</t>
        </is>
      </c>
      <c r="K10" s="26" t="inlineStr">
        <is>
          <t>Mới (New)</t>
        </is>
      </c>
      <c r="L10" s="4" t="inlineStr">
        <is>
          <t>Nhóm kiểm thử</t>
        </is>
      </c>
      <c r="M10" s="26" t="inlineStr">
        <is>
          <t>03/10/2026</t>
        </is>
      </c>
    </row>
    <row r="11">
      <c r="A11" s="26" t="inlineStr">
        <is>
          <t>BUG-007</t>
        </is>
      </c>
      <c r="B11" s="26" t="inlineStr">
        <is>
          <t>UC1.1-TC008</t>
        </is>
      </c>
      <c r="C11" s="4" t="inlineStr">
        <is>
          <t>Chức năng</t>
        </is>
      </c>
      <c r="D11" s="4" t="inlineStr">
        <is>
          <t>Không kiểm tra trùng số điện thoại</t>
        </is>
      </c>
      <c r="E11" s="26" t="inlineStr">
        <is>
          <t>Trung bình</t>
        </is>
      </c>
      <c r="F11" s="26" t="inlineStr">
        <is>
          <t>P2 – Cao</t>
        </is>
      </c>
      <c r="G11" s="4" t="inlineStr">
        <is>
          <t>1. Chọn "Thêm khách hàng"
2. Nhập Họ tên, Email mới, Địa chỉ (Khách Trùng SĐT / trungsdt@test.vn / Hà Nội)
3. Nhập SĐT đã tồn tại (của Nguyễn Huy) (0911000001)
4. Nhấn "Lưu khách hàng"</t>
        </is>
      </c>
      <c r="H11" s="4" t="inlineStr">
        <is>
          <t>Hiển thị lỗi số điện thoại đã tồn tại, không tạo khách hàng (quy tắc nghiệp vụ UC1.1)</t>
        </is>
      </c>
      <c r="I11" s="4" t="inlineStr">
        <is>
          <t>Hệ thống vẫn lưu khách hàng có SĐT trùng 0911000001</t>
        </is>
      </c>
      <c r="J11" s="4" t="inlineStr">
        <is>
          <t>server/storage.ts – createCustomer()</t>
        </is>
      </c>
      <c r="K11" s="26" t="inlineStr">
        <is>
          <t>Mới (New)</t>
        </is>
      </c>
      <c r="L11" s="4" t="inlineStr">
        <is>
          <t>Nhóm kiểm thử</t>
        </is>
      </c>
      <c r="M11" s="26" t="inlineStr">
        <is>
          <t>03/10/2026</t>
        </is>
      </c>
    </row>
    <row r="12">
      <c r="A12" s="26" t="inlineStr">
        <is>
          <t>BUG-008</t>
        </is>
      </c>
      <c r="B12" s="26" t="inlineStr">
        <is>
          <t>UC1.1-TC009</t>
        </is>
      </c>
      <c r="C12" s="4" t="inlineStr">
        <is>
          <t>Chức năng</t>
        </is>
      </c>
      <c r="D12" s="4" t="inlineStr">
        <is>
          <t>Không kiểm tra trùng email</t>
        </is>
      </c>
      <c r="E12" s="26" t="inlineStr">
        <is>
          <t>Trung bình</t>
        </is>
      </c>
      <c r="F12" s="26" t="inlineStr">
        <is>
          <t>P2 – Cao</t>
        </is>
      </c>
      <c r="G12" s="4" t="inlineStr">
        <is>
          <t>1. Chọn "Thêm khách hàng"
2. Nhập Họ tên, SĐT mới, Địa chỉ (Khách Trùng Email / 0977000999 / Hà Nội)
3. Nhập Email đã tồn tại (owner.huy@example.com)
4. Nhấn "Lưu khách hàng"</t>
        </is>
      </c>
      <c r="H12" s="4" t="inlineStr">
        <is>
          <t>Hiển thị lỗi email đã tồn tại, không tạo khách hàng</t>
        </is>
      </c>
      <c r="I12" s="4" t="inlineStr">
        <is>
          <t>Hệ thống vẫn lưu khách hàng có email trùng</t>
        </is>
      </c>
      <c r="J12" s="4" t="inlineStr">
        <is>
          <t>server/storage.ts – createCustomer()</t>
        </is>
      </c>
      <c r="K12" s="26" t="inlineStr">
        <is>
          <t>Mới (New)</t>
        </is>
      </c>
      <c r="L12" s="4" t="inlineStr">
        <is>
          <t>Nhóm kiểm thử</t>
        </is>
      </c>
      <c r="M12" s="26" t="inlineStr">
        <is>
          <t>03/10/2026</t>
        </is>
      </c>
    </row>
    <row r="13">
      <c r="A13" s="26" t="inlineStr">
        <is>
          <t>BUG-009</t>
        </is>
      </c>
      <c r="B13" s="26" t="inlineStr">
        <is>
          <t>UC1.2-TC004</t>
        </is>
      </c>
      <c r="C13" s="4" t="inlineStr">
        <is>
          <t>Chức năng</t>
        </is>
      </c>
      <c r="D13" s="4" t="inlineStr">
        <is>
          <t>Không kiểm tra trùng mã microchip</t>
        </is>
      </c>
      <c r="E13" s="26" t="inlineStr">
        <is>
          <t>Trung bình</t>
        </is>
      </c>
      <c r="F13" s="26" t="inlineStr">
        <is>
          <t>P2 – Cao</t>
        </is>
      </c>
      <c r="G13" s="4" t="inlineStr">
        <is>
          <t>1. Nhấn "Thêm thú cưng"
2. Nhập Tên, chọn Loài (Mực / Chó)
3. Nhập microchip đã dùng ở TC003 (MC-106379)
4. Nhấn "Lưu thú cưng"</t>
        </is>
      </c>
      <c r="H13" s="4" t="inlineStr">
        <is>
          <t>Hiển thị "Microchip đã tồn tại, vui lòng kiểm tra lại." (luồng thay thế UC1.2)</t>
        </is>
      </c>
      <c r="I13" s="4" t="inlineStr">
        <is>
          <t>Hệ thống vẫn lưu thú cưng có microchip trùng</t>
        </is>
      </c>
      <c r="J13" s="4" t="inlineStr">
        <is>
          <t>server/storage.ts – createPet()</t>
        </is>
      </c>
      <c r="K13" s="26" t="inlineStr">
        <is>
          <t>Mới (New)</t>
        </is>
      </c>
      <c r="L13" s="4" t="inlineStr">
        <is>
          <t>Nhóm kiểm thử</t>
        </is>
      </c>
      <c r="M13" s="26" t="inlineStr">
        <is>
          <t>03/10/2026</t>
        </is>
      </c>
    </row>
    <row r="14">
      <c r="A14" s="26" t="inlineStr">
        <is>
          <t>BUG-010</t>
        </is>
      </c>
      <c r="B14" s="26" t="inlineStr">
        <is>
          <t>UC2.1-TC005</t>
        </is>
      </c>
      <c r="C14" s="4" t="inlineStr">
        <is>
          <t>Chức năng</t>
        </is>
      </c>
      <c r="D14" s="4" t="inlineStr">
        <is>
          <t>Cho phép đặt lịch hẹn trong quá khứ</t>
        </is>
      </c>
      <c r="E14" s="26" t="inlineStr">
        <is>
          <t>Trung bình</t>
        </is>
      </c>
      <c r="F14" s="26" t="inlineStr">
        <is>
          <t>P2 – Cao</t>
        </is>
      </c>
      <c r="G14" s="4" t="inlineStr">
        <is>
          <t>1. Chọn "Tạo lịch hẹn"
2. Chọn khách hàng, thú cưng, dịch vụ hợp lệ (Nguyễn Huy / Bông 106379)
3. Chọn ngày hôm qua (2026-10-02 10:00)
4. Nhấn lưu</t>
        </is>
      </c>
      <c r="H14" s="4" t="inlineStr">
        <is>
          <t>Hệ thống từ chối lịch hẹn trong quá khứ</t>
        </is>
      </c>
      <c r="I14" s="4" t="inlineStr">
        <is>
          <t>Hệ thống vẫn tạo lịch hẹn ngày 2026-10-02</t>
        </is>
      </c>
      <c r="J14" s="4" t="inlineStr">
        <is>
          <t>server/storage.ts – createAppointment()</t>
        </is>
      </c>
      <c r="K14" s="26" t="inlineStr">
        <is>
          <t>Mới (New)</t>
        </is>
      </c>
      <c r="L14" s="4" t="inlineStr">
        <is>
          <t>Nhóm kiểm thử</t>
        </is>
      </c>
      <c r="M14" s="26" t="inlineStr">
        <is>
          <t>03/10/2026</t>
        </is>
      </c>
    </row>
    <row r="15">
      <c r="A15" s="26" t="inlineStr">
        <is>
          <t>BUG-011</t>
        </is>
      </c>
      <c r="B15" s="26" t="inlineStr">
        <is>
          <t>UC2.2-TC004</t>
        </is>
      </c>
      <c r="C15" s="4" t="inlineStr">
        <is>
          <t>Chức năng</t>
        </is>
      </c>
      <c r="D15" s="4" t="inlineStr">
        <is>
          <t>Cho phép hủy lịch khi còn dưới 1 tiếng (trái R2.2)</t>
        </is>
      </c>
      <c r="E15" s="26" t="inlineStr">
        <is>
          <t>Trung bình</t>
        </is>
      </c>
      <c r="F15" s="26" t="inlineStr">
        <is>
          <t>P2 – Cao</t>
        </is>
      </c>
      <c r="G15" s="4" t="inlineStr">
        <is>
          <t>1. Có lịch hẹn bắt đầu sau 30 phút (Giờ hiện tại + 30 phút)
2. Nhấn "Hủy lịch"</t>
        </is>
      </c>
      <c r="H15" s="4" t="inlineStr">
        <is>
          <t>Hệ thống từ chối – chỉ được hủy trước giờ hẹn ít nhất 1 tiếng (R2.2)</t>
        </is>
      </c>
      <c r="I15" s="4" t="inlineStr">
        <is>
          <t>Lịch hẹn vẫn bị hủy dù chỉ còn 30 phút</t>
        </is>
      </c>
      <c r="J15" s="4" t="inlineStr">
        <is>
          <t>server/storage.ts – deleteAppointment()</t>
        </is>
      </c>
      <c r="K15" s="26" t="inlineStr">
        <is>
          <t>Mới (New)</t>
        </is>
      </c>
      <c r="L15" s="4" t="inlineStr">
        <is>
          <t>Nhóm kiểm thử</t>
        </is>
      </c>
      <c r="M15" s="26" t="inlineStr">
        <is>
          <t>03/10/2026</t>
        </is>
      </c>
    </row>
    <row r="16">
      <c r="A16" s="26" t="inlineStr">
        <is>
          <t>BUG-012</t>
        </is>
      </c>
      <c r="B16" s="26" t="inlineStr">
        <is>
          <t>UC2.4-TC003</t>
        </is>
      </c>
      <c r="C16" s="4" t="inlineStr">
        <is>
          <t>Chức năng</t>
        </is>
      </c>
      <c r="D16" s="4" t="inlineStr">
        <is>
          <t>Ca trực có giờ kết thúc trước giờ bắt đầu vẫn được lưu</t>
        </is>
      </c>
      <c r="E16" s="26" t="inlineStr">
        <is>
          <t>Trung bình</t>
        </is>
      </c>
      <c r="F16" s="26" t="inlineStr">
        <is>
          <t>P2 – Cao</t>
        </is>
      </c>
      <c r="G16" s="4" t="inlineStr">
        <is>
          <t>1. Chọn "Tạo ca trực"
2. Chọn Bác sĩ, Ngày trực (2026-10-06)
3. Nhập giờ bắt đầu 17:00, kết thúc 13:00 (17:00 – 13:00)
4. Nhấn "Lưu ca trực"</t>
        </is>
      </c>
      <c r="H16" s="4" t="inlineStr">
        <is>
          <t>Hệ thống từ chối ca trực có giờ kết thúc trước giờ bắt đầu</t>
        </is>
      </c>
      <c r="I16" s="4" t="inlineStr">
        <is>
          <t>Ca trực 17:00 – 13:00 vẫn được tạo</t>
        </is>
      </c>
      <c r="J16" s="4" t="inlineStr">
        <is>
          <t>shared/schema.ts – insertDoctorShiftSchema</t>
        </is>
      </c>
      <c r="K16" s="26" t="inlineStr">
        <is>
          <t>Mới (New)</t>
        </is>
      </c>
      <c r="L16" s="4" t="inlineStr">
        <is>
          <t>Nhóm kiểm thử</t>
        </is>
      </c>
      <c r="M16" s="26" t="inlineStr">
        <is>
          <t>03/10/2026</t>
        </is>
      </c>
    </row>
    <row r="17">
      <c r="A17" s="26" t="inlineStr">
        <is>
          <t>BUG-013</t>
        </is>
      </c>
      <c r="B17" s="26" t="inlineStr">
        <is>
          <t>UC2.4-TC004</t>
        </is>
      </c>
      <c r="C17" s="4" t="inlineStr">
        <is>
          <t>Chức năng</t>
        </is>
      </c>
      <c r="D17" s="4" t="inlineStr">
        <is>
          <t>Ca trực trùng giờ của cùng bác sĩ vẫn được lưu</t>
        </is>
      </c>
      <c r="E17" s="26" t="inlineStr">
        <is>
          <t>Trung bình</t>
        </is>
      </c>
      <c r="F17" s="26" t="inlineStr">
        <is>
          <t>P2 – Cao</t>
        </is>
      </c>
      <c r="G17" s="4" t="inlineStr">
        <is>
          <t>1. Chọn "Tạo ca trực"
2. Chọn cùng Bác sĩ, Ngày với TC002 (2026-10-06)
3. Nhập giờ 09:00 – 11:00 (giao với 08:00 – 12:00) (09:00 – 11:00)
4. Nhấn "Lưu ca trực"</t>
        </is>
      </c>
      <c r="H17" s="4" t="inlineStr">
        <is>
          <t>Hệ thống báo trùng ca, không tạo ca trực (R2.4 – tránh trùng lịch)</t>
        </is>
      </c>
      <c r="I17" s="4" t="inlineStr">
        <is>
          <t>Ca trực trùng giờ vẫn được tạo</t>
        </is>
      </c>
      <c r="J17" s="4" t="inlineStr">
        <is>
          <t>server/storage.ts – createDoctorShift()</t>
        </is>
      </c>
      <c r="K17" s="26" t="inlineStr">
        <is>
          <t>Mới (New)</t>
        </is>
      </c>
      <c r="L17" s="4" t="inlineStr">
        <is>
          <t>Nhóm kiểm thử</t>
        </is>
      </c>
      <c r="M17" s="26" t="inlineStr">
        <is>
          <t>03/10/2026</t>
        </is>
      </c>
    </row>
    <row r="18">
      <c r="A18" s="26" t="inlineStr">
        <is>
          <t>BUG-014</t>
        </is>
      </c>
      <c r="B18" s="26" t="inlineStr">
        <is>
          <t>UC4.1-TC004</t>
        </is>
      </c>
      <c r="C18" s="4" t="inlineStr">
        <is>
          <t>Chức năng</t>
        </is>
      </c>
      <c r="D18" s="4" t="inlineStr">
        <is>
          <t>Mã vật tư trùng vẫn được lưu</t>
        </is>
      </c>
      <c r="E18" s="26" t="inlineStr">
        <is>
          <t>Trung bình</t>
        </is>
      </c>
      <c r="F18" s="26" t="inlineStr">
        <is>
          <t>P2 – Cao</t>
        </is>
      </c>
      <c r="G18" s="4" t="inlineStr">
        <is>
          <t>1. Chọn "Thêm vật tư"
2. Nhập Mã vật tư đã dùng ở TC003 (MED-106379)
3. Nhập các trường còn lại hợp lệ, nhấn "Lưu vật tư" (Thuốc trùng mã / Thuốc / Hộp / 10 / 1000)</t>
        </is>
      </c>
      <c r="H18" s="4" t="inlineStr">
        <is>
          <t>Hệ thống báo mã vật tư đã tồn tại, không tạo vật tư mới</t>
        </is>
      </c>
      <c r="I18" s="4" t="inlineStr">
        <is>
          <t>Vẫn tạo vật tư thứ hai có mã MED-085746</t>
        </is>
      </c>
      <c r="J18" s="4" t="inlineStr">
        <is>
          <t>server/storage.ts – createInventoryItem()</t>
        </is>
      </c>
      <c r="K18" s="26" t="inlineStr">
        <is>
          <t>Mới (New)</t>
        </is>
      </c>
      <c r="L18" s="4" t="inlineStr">
        <is>
          <t>Nhóm kiểm thử</t>
        </is>
      </c>
      <c r="M18" s="26" t="inlineStr">
        <is>
          <t>03/10/2026</t>
        </is>
      </c>
    </row>
    <row r="19">
      <c r="A19" s="26" t="inlineStr">
        <is>
          <t>BUG-015</t>
        </is>
      </c>
      <c r="B19" s="26" t="inlineStr">
        <is>
          <t>UC5.1-TC003</t>
        </is>
      </c>
      <c r="C19" s="4" t="inlineStr">
        <is>
          <t>Chức năng</t>
        </is>
      </c>
      <c r="D19" s="4" t="inlineStr">
        <is>
          <t>Bán vượt tồn kho: báo lỗi nhưng vẫn để lại hóa đơn rỗng 0 VND</t>
        </is>
      </c>
      <c r="E19" s="26" t="inlineStr">
        <is>
          <t>Trung bình</t>
        </is>
      </c>
      <c r="F19" s="26" t="inlineStr">
        <is>
          <t>P2 – Cao</t>
        </is>
      </c>
      <c r="G19" s="4" t="inlineStr">
        <is>
          <t>1. Chọn "Tạo hóa đơn"
2. Chọn Khách hàng, Thuốc (Trần Lan / Amoxicillin KT 106379)
3. Nhập Số lượng lớn hơn tồn (16) (100)
4. Nhấn "Tạo hóa đơn"</t>
        </is>
      </c>
      <c r="H19" s="4" t="inlineStr">
        <is>
          <t>Hiển thị "Không thể tạo hóa đơn", không phát sinh hóa đơn nào</t>
        </is>
      </c>
      <c r="I19" s="4" t="inlineStr">
        <is>
          <t>Có báo lỗi nhưng vẫn phát sinh 1 hóa đơn rỗng 0 VND ở trạng thái chờ thanh toán</t>
        </is>
      </c>
      <c r="J19" s="4" t="inlineStr">
        <is>
          <t>InvoicesPage.tsx – tạo hóa đơn trước, thêm dòng sau, không cùng transaction</t>
        </is>
      </c>
      <c r="K19" s="26" t="inlineStr">
        <is>
          <t>Mới (New)</t>
        </is>
      </c>
      <c r="L19" s="4" t="inlineStr">
        <is>
          <t>Nhóm kiểm thử</t>
        </is>
      </c>
      <c r="M19" s="26" t="inlineStr">
        <is>
          <t>03/10/2026</t>
        </is>
      </c>
    </row>
    <row r="20">
      <c r="A20" s="26" t="inlineStr">
        <is>
          <t>BUG-016</t>
        </is>
      </c>
      <c r="B20" s="26" t="inlineStr">
        <is>
          <t>DI-TC006</t>
        </is>
      </c>
      <c r="C20" s="4" t="inlineStr">
        <is>
          <t>Toàn vẹn dữ liệu</t>
        </is>
      </c>
      <c r="D20" s="4" t="inlineStr">
        <is>
          <t>Thu tiền nhiều lần đủ tổng nhưng hóa đơn vẫn "Chờ thanh toán"</t>
        </is>
      </c>
      <c r="E20" s="26" t="inlineStr">
        <is>
          <t>Trung bình</t>
        </is>
      </c>
      <c r="F20" s="26" t="inlineStr">
        <is>
          <t>P2 – Cao</t>
        </is>
      </c>
      <c r="G20" s="4" t="inlineStr">
        <is>
          <t>Hóa đơn 300.000đ, thu 100.000đ rồi 200.000đ</t>
        </is>
      </c>
      <c r="H20" s="4" t="inlineStr">
        <is>
          <t>Sau lần 1: pending; sau lần 2: paid</t>
        </is>
      </c>
      <c r="I20" s="4" t="inlineStr">
        <is>
          <t>Đã thu đủ 300.000đ qua 2 lần nhưng hóa đơn vẫn "pending"</t>
        </is>
      </c>
      <c r="J20" s="4" t="inlineStr">
        <is>
          <t>server/routes.ts – POST /api/payments so sánh từng lần thu thay vì tổng đã thu</t>
        </is>
      </c>
      <c r="K20" s="26" t="inlineStr">
        <is>
          <t>Mới (New)</t>
        </is>
      </c>
      <c r="L20" s="4" t="inlineStr">
        <is>
          <t>Nhóm kiểm thử</t>
        </is>
      </c>
      <c r="M20" s="26" t="inlineStr">
        <is>
          <t>03/10/2026</t>
        </is>
      </c>
    </row>
    <row r="21">
      <c r="A21" s="26" t="inlineStr">
        <is>
          <t>BUG-017</t>
        </is>
      </c>
      <c r="B21" s="26" t="inlineStr">
        <is>
          <t>DI-TC007</t>
        </is>
      </c>
      <c r="C21" s="4" t="inlineStr">
        <is>
          <t>Toàn vẹn dữ liệu</t>
        </is>
      </c>
      <c r="D21" s="4" t="inlineStr">
        <is>
          <t>Chấp nhận thanh toán vượt số tiền hóa đơn</t>
        </is>
      </c>
      <c r="E21" s="26" t="inlineStr">
        <is>
          <t>Trung bình</t>
        </is>
      </c>
      <c r="F21" s="26" t="inlineStr">
        <is>
          <t>P2 – Cao</t>
        </is>
      </c>
      <c r="G21" s="4" t="inlineStr">
        <is>
          <t>Thu 5.000.000đ cho hóa đơn 200.000đ</t>
        </is>
      </c>
      <c r="H21" s="4" t="inlineStr">
        <is>
          <t>HTTP 400</t>
        </is>
      </c>
      <c r="I21" s="4" t="inlineStr">
        <is>
          <t>Thanh toán 5.000.000đ cho hóa đơn 200.000đ được chấp nhận (HTTP 201)</t>
        </is>
      </c>
      <c r="J21" s="4" t="inlineStr">
        <is>
          <t>server/routes.ts – POST /api/payments không kiểm tra số tiền</t>
        </is>
      </c>
      <c r="K21" s="26" t="inlineStr">
        <is>
          <t>Mới (New)</t>
        </is>
      </c>
      <c r="L21" s="4" t="inlineStr">
        <is>
          <t>Nhóm kiểm thử</t>
        </is>
      </c>
      <c r="M21" s="26" t="inlineStr">
        <is>
          <t>03/10/2026</t>
        </is>
      </c>
    </row>
    <row r="22">
      <c r="A22" s="26" t="inlineStr">
        <is>
          <t>BUG-018</t>
        </is>
      </c>
      <c r="B22" s="26" t="inlineStr">
        <is>
          <t>UT-SCH-05</t>
        </is>
      </c>
      <c r="C22" s="4" t="inlineStr">
        <is>
          <t>Unit test</t>
        </is>
      </c>
      <c r="D22" s="4" t="inlineStr">
        <is>
          <t>API không kiểm tra định dạng SĐT 10 chữ số (chỉ form giao diện kiểm tra)</t>
        </is>
      </c>
      <c r="E22" s="26" t="inlineStr">
        <is>
          <t>Trung bình</t>
        </is>
      </c>
      <c r="F22" s="26" t="inlineStr">
        <is>
          <t>P2 – Cao</t>
        </is>
      </c>
      <c r="G22" s="4" t="inlineStr">
        <is>
          <t>Chạy unit test UT-SCH-05 (npm run test:unit)</t>
        </is>
      </c>
      <c r="H22" s="4" t="inlineStr">
        <is>
          <t>từ chối số điện thoại không đủ 10 chữ số (quy tắc nghiệp vụ UC1.1)</t>
        </is>
      </c>
      <c r="I22" s="4" t="inlineStr">
        <is>
          <t>Schema phía server chấp nhận SĐT "123"</t>
        </is>
      </c>
      <c r="J22" s="4" t="inlineStr">
        <is>
          <t>shared/schema.ts – insertCustomerSchema.phone chỉ yêu cầu min(1)</t>
        </is>
      </c>
      <c r="K22" s="26" t="inlineStr">
        <is>
          <t>Mới (New)</t>
        </is>
      </c>
      <c r="L22" s="4" t="inlineStr">
        <is>
          <t>Nhóm kiểm thử</t>
        </is>
      </c>
      <c r="M22" s="26" t="inlineStr">
        <is>
          <t>03/10/2026</t>
        </is>
      </c>
    </row>
    <row r="23">
      <c r="A23" s="26" t="inlineStr">
        <is>
          <t>BUG-019</t>
        </is>
      </c>
      <c r="B23" s="26" t="inlineStr">
        <is>
          <t>UT-STO-12</t>
        </is>
      </c>
      <c r="C23" s="4" t="inlineStr">
        <is>
          <t>Unit test</t>
        </is>
      </c>
      <c r="D23" s="4" t="inlineStr">
        <is>
          <t>Nhập thêm lô hàng không cộng vào tồn kho của vật tư (R4.1)</t>
        </is>
      </c>
      <c r="E23" s="26" t="inlineStr">
        <is>
          <t>Trung bình</t>
        </is>
      </c>
      <c r="F23" s="26" t="inlineStr">
        <is>
          <t>P2 – Cao</t>
        </is>
      </c>
      <c r="G23" s="4" t="inlineStr">
        <is>
          <t>Chạy unit test UT-STO-12 (npm run test:unit)</t>
        </is>
      </c>
      <c r="H23" s="4" t="inlineStr">
        <is>
          <t>nhập lô hàng mới làm tăng tồn kho của vật tư (R4.1)</t>
        </is>
      </c>
      <c r="I23" s="4" t="inlineStr">
        <is>
          <t>Tồn kho không đổi sau khi nhập lô 20</t>
        </is>
      </c>
      <c r="J23" s="4" t="inlineStr">
        <is>
          <t>server/storage.ts – createStockBatch() chỉ lưu lô, không cập nhật inventory.stock</t>
        </is>
      </c>
      <c r="K23" s="26" t="inlineStr">
        <is>
          <t>Mới (New)</t>
        </is>
      </c>
      <c r="L23" s="4" t="inlineStr">
        <is>
          <t>Nhóm kiểm thử</t>
        </is>
      </c>
      <c r="M23" s="26" t="inlineStr">
        <is>
          <t>03/10/2026</t>
        </is>
      </c>
    </row>
    <row r="24">
      <c r="A24" s="26" t="inlineStr">
        <is>
          <t>BUG-020</t>
        </is>
      </c>
      <c r="B24" s="26" t="inlineStr">
        <is>
          <t>UC2.1-TC001</t>
        </is>
      </c>
      <c r="C24" s="4" t="inlineStr">
        <is>
          <t>Chức năng</t>
        </is>
      </c>
      <c r="D24" s="4" t="inlineStr">
        <is>
          <t>Form đặt lịch không hiển thị thông báo lỗi khi bỏ trống</t>
        </is>
      </c>
      <c r="E24" s="26" t="inlineStr">
        <is>
          <t>Thấp</t>
        </is>
      </c>
      <c r="F24" s="26" t="inlineStr">
        <is>
          <t>P3 – Bình thường</t>
        </is>
      </c>
      <c r="G24" s="4" t="inlineStr">
        <is>
          <t>1. Chọn "Tạo lịch hẹn"
2. Không chọn khách hàng, thú cưng, ngày, dịch vụ
3. Nhấn nút lưu</t>
        </is>
      </c>
      <c r="H24" s="4" t="inlineStr">
        <is>
          <t>Hiển thị thông báo "Vui lòng chọn khách hàng", "Vui lòng chọn thú cưng"...</t>
        </is>
      </c>
      <c r="I24" s="4" t="inlineStr">
        <is>
          <t>Form không gửi nhưng không hiển thị thông báo lỗi nào cho người dùng</t>
        </is>
      </c>
      <c r="J24" s="4" t="inlineStr">
        <is>
          <t>AddAppointmentDialog.tsx – không render formState.errors</t>
        </is>
      </c>
      <c r="K24" s="26" t="inlineStr">
        <is>
          <t>Mới (New)</t>
        </is>
      </c>
      <c r="L24" s="4" t="inlineStr">
        <is>
          <t>Nhóm kiểm thử</t>
        </is>
      </c>
      <c r="M24" s="26" t="inlineStr">
        <is>
          <t>03/10/2026</t>
        </is>
      </c>
    </row>
    <row r="25">
      <c r="A25" s="26" t="inlineStr">
        <is>
          <t>BUG-021</t>
        </is>
      </c>
      <c r="B25" s="26" t="inlineStr">
        <is>
          <t>UC8.2-TC002</t>
        </is>
      </c>
      <c r="C25" s="4" t="inlineStr">
        <is>
          <t>Chức năng</t>
        </is>
      </c>
      <c r="D25" s="4" t="inlineStr">
        <is>
          <t>Bộ lọc "Ngoại tuyến" luôn rỗng</t>
        </is>
      </c>
      <c r="E25" s="26" t="inlineStr">
        <is>
          <t>Thấp</t>
        </is>
      </c>
      <c r="F25" s="26" t="inlineStr">
        <is>
          <t>P3 – Bình thường</t>
        </is>
      </c>
      <c r="G25" s="4" t="inlineStr">
        <is>
          <t>1. Chọn menu "Camera giám sát"
2. Chọn bộ lọc trạng thái "Ngoại tuyến" (Phòng 04, 09, 13 (camera đang tắt))</t>
        </is>
      </c>
      <c r="H25" s="4" t="inlineStr">
        <is>
          <t>Hiển thị 3 camera Phòng 04, 09, 13 với nhãn "Ngoại tuyến"</t>
        </is>
      </c>
      <c r="I25" s="4" t="inlineStr">
        <is>
          <t>Danh sách trống – API /api/camera-streams chỉ trả về camera đang hoạt động nên bộ lọc "Ngoại tuyến" không bao giờ có kết quả</t>
        </is>
      </c>
      <c r="J25" s="4" t="inlineStr">
        <is>
          <t>server/storage.ts – getCameraStreams() chỉ lấy isActive = true</t>
        </is>
      </c>
      <c r="K25" s="26" t="inlineStr">
        <is>
          <t>Mới (New)</t>
        </is>
      </c>
      <c r="L25" s="4" t="inlineStr">
        <is>
          <t>Nhóm kiểm thử</t>
        </is>
      </c>
      <c r="M25" s="26" t="inlineStr">
        <is>
          <t>03/10/2026</t>
        </is>
      </c>
    </row>
    <row r="26">
      <c r="A26" s="26" t="inlineStr">
        <is>
          <t>BUG-022</t>
        </is>
      </c>
      <c r="B26" s="26" t="inlineStr">
        <is>
          <t>UC6.1-TC001</t>
        </is>
      </c>
      <c r="C26" s="4" t="inlineStr">
        <is>
          <t>Chức năng</t>
        </is>
      </c>
      <c r="D26" s="4" t="inlineStr">
        <is>
          <t>Thông báo lỗi hiển thị chuỗi JSON kỹ thuật của Zod</t>
        </is>
      </c>
      <c r="E26" s="26" t="inlineStr">
        <is>
          <t>Thấp</t>
        </is>
      </c>
      <c r="F26" s="26" t="inlineStr">
        <is>
          <t>P3 – Bình thường</t>
        </is>
      </c>
      <c r="G26" s="4" t="inlineStr">
        <is>
          <t>1. Chọn "Thêm bác sĩ"
2. Không nhập dữ liệu, nhấn "Tạo bác sĩ"</t>
        </is>
      </c>
      <c r="H26" s="4" t="inlineStr">
        <is>
          <t>Hiển thị thông báo lỗi rõ ràng cho từng trường bắt buộc</t>
        </is>
      </c>
      <c r="I26" s="4" t="inlineStr">
        <is>
          <t>Hiển thị "Không thể thêm bác sĩ" kèm chuỗi lỗi kỹ thuật (JSON của Zod), khó hiểu với người dùng</t>
        </is>
      </c>
      <c r="J26" s="4" t="inlineStr">
        <is>
          <t>DoctorsPage.tsx, server/routes.ts trả nguyên error.message</t>
        </is>
      </c>
      <c r="K26" s="26" t="inlineStr">
        <is>
          <t>Mới (New)</t>
        </is>
      </c>
      <c r="L26" s="4" t="inlineStr">
        <is>
          <t>Nhóm kiểm thử</t>
        </is>
      </c>
      <c r="M26" s="26" t="inlineStr">
        <is>
          <t>03/10/2026</t>
        </is>
      </c>
    </row>
    <row r="27">
      <c r="A27" s="26" t="inlineStr">
        <is>
          <t>BUG-023</t>
        </is>
      </c>
      <c r="B27" s="26" t="inlineStr">
        <is>
          <t>UC4.1-TC001</t>
        </is>
      </c>
      <c r="C27" s="4" t="inlineStr">
        <is>
          <t>Chức năng</t>
        </is>
      </c>
      <c r="D27" s="4" t="inlineStr">
        <is>
          <t>Bỏ trống Giá không có thông báo lỗi</t>
        </is>
      </c>
      <c r="E27" s="26" t="inlineStr">
        <is>
          <t>Thấp</t>
        </is>
      </c>
      <c r="F27" s="26" t="inlineStr">
        <is>
          <t>P3 – Bình thường</t>
        </is>
      </c>
      <c r="G27" s="4" t="inlineStr">
        <is>
          <t>1. Chọn "Thêm vật tư"
2. Không nhập dữ liệu, nhấn "Lưu vật tư"</t>
        </is>
      </c>
      <c r="H27" s="4" t="inlineStr">
        <is>
          <t>Hiển thị lỗi "Mã vật tư là bắt buộc", "Tên vật tư là bắt buộc", "Danh mục là bắt buộc", "Đơn vị là bắt buộc", "Giá là bắt buộc"</t>
        </is>
      </c>
      <c r="I27" s="4" t="inlineStr">
        <is>
          <t>Form không lưu, nhưng thiếu thông báo: "Giá là bắt buộc"</t>
        </is>
      </c>
      <c r="J27" s="4" t="inlineStr">
        <is>
          <t>InventoryTable.tsx – thiếu hiển thị errors.price</t>
        </is>
      </c>
      <c r="K27" s="26" t="inlineStr">
        <is>
          <t>Mới (New)</t>
        </is>
      </c>
      <c r="L27" s="4" t="inlineStr">
        <is>
          <t>Nhóm kiểm thử</t>
        </is>
      </c>
      <c r="M27" s="26" t="inlineStr">
        <is>
          <t>03/10/2026</t>
        </is>
      </c>
    </row>
    <row r="28">
      <c r="A28" s="26" t="inlineStr">
        <is>
          <t>BUG-024</t>
        </is>
      </c>
      <c r="B28" s="26" t="inlineStr">
        <is>
          <t>UC5.2-TC003</t>
        </is>
      </c>
      <c r="C28" s="4" t="inlineStr">
        <is>
          <t>Chức năng</t>
        </is>
      </c>
      <c r="D28" s="4" t="inlineStr">
        <is>
          <t>Tìm hóa đơn theo trạng thái hiển thị ("Quá hạn", "Đã hủy"…) không ra kết quả</t>
        </is>
      </c>
      <c r="E28" s="26" t="inlineStr">
        <is>
          <t>Thấp</t>
        </is>
      </c>
      <c r="F28" s="26" t="inlineStr">
        <is>
          <t>P3 – Bình thường</t>
        </is>
      </c>
      <c r="G28" s="4" t="inlineStr">
        <is>
          <t>1. Nhập trạng thái hiển thị trên giao diện vào ô tìm kiếm (Quá hạn)</t>
        </is>
      </c>
      <c r="H28" s="4" t="inlineStr">
        <is>
          <t>Hiển thị 5 hóa đơn mẫu có trạng thái "Quá hạn" (ô tìm kiếm ghi "Tìm theo mã, khách hàng, trạng thái")</t>
        </is>
      </c>
      <c r="I28" s="4" t="inlineStr">
        <is>
          <t>Hiển thị 0 hóa đơn – bộ lọc chỉ so khớp mã trạng thái tiếng Anh (overdue), không khớp nhãn tiếng Việt</t>
        </is>
      </c>
      <c r="J28" s="4" t="inlineStr">
        <is>
          <t>InvoicesPage.tsx – bộ lọc so khớp inv.status (overdue, paid…) thay vì nhãn tiếng Việt</t>
        </is>
      </c>
      <c r="K28" s="26" t="inlineStr">
        <is>
          <t>Mới (New)</t>
        </is>
      </c>
      <c r="L28" s="4" t="inlineStr">
        <is>
          <t>Nhóm kiểm thử</t>
        </is>
      </c>
      <c r="M28" s="26" t="inlineStr">
        <is>
          <t>03/10/2026</t>
        </is>
      </c>
    </row>
  </sheetData>
  <autoFilter ref="A4:M28"/>
  <conditionalFormatting sqref="E5:E28">
    <cfRule type="cellIs" priority="1" operator="equal" dxfId="1">
      <formula>"Cao"</formula>
    </cfRule>
    <cfRule type="cellIs" priority="2" operator="equal" dxfId="2">
      <formula>"Trung bình"</formula>
    </cfRule>
  </conditionalFormatting>
  <dataValidations count="1">
    <dataValidation sqref="K5:K28" showDropDown="0" showInputMessage="0" showErrorMessage="0" allowBlank="1" type="list">
      <formula1>"Mới (New),Đang sửa (In progress),Đã sửa (Fixed),Đã kiểm lại (Verified),Đóng (Closed)"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2026-10-03T02:23:49Z</dcterms:created>
  <dcterms:modified xmlns:dcterms="http://purl.org/dc/terms/" xmlns:xsi="http://www.w3.org/2001/XMLSchema-instance" xsi:type="dcterms:W3CDTF">2026-10-03T02:23:49Z</dcterms:modified>
</cp:coreProperties>
</file>